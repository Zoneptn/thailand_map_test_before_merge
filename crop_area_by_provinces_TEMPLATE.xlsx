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"/>
    </mc:Choice>
  </mc:AlternateContent>
  <xr:revisionPtr revIDLastSave="0" documentId="13_ncr:1_{34D4B0A9-92AA-8840-89C4-59E6B90EEAFC}" xr6:coauthVersionLast="47" xr6:coauthVersionMax="47" xr10:uidLastSave="{00000000-0000-0000-0000-000000000000}"/>
  <bookViews>
    <workbookView xWindow="0" yWindow="760" windowWidth="30240" windowHeight="17280" xr2:uid="{00000000-000D-0000-FFFF-FFFF00000000}"/>
  </bookViews>
  <sheets>
    <sheet name="crop_area_by_provinces" sheetId="1" r:id="rId1"/>
    <sheet name="province_lookup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8" i="1" l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46" i="1"/>
  <c r="I247" i="1"/>
  <c r="I248" i="1"/>
  <c r="I249" i="1"/>
  <c r="I250" i="1"/>
  <c r="I251" i="1"/>
  <c r="I252" i="1"/>
  <c r="I253" i="1"/>
  <c r="I254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152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2" i="1"/>
</calcChain>
</file>

<file path=xl/sharedStrings.xml><?xml version="1.0" encoding="utf-8"?>
<sst xmlns="http://schemas.openxmlformats.org/spreadsheetml/2006/main" count="1253" uniqueCount="118">
  <si>
    <t>province_name_en</t>
  </si>
  <si>
    <t>region</t>
  </si>
  <si>
    <t>crop</t>
  </si>
  <si>
    <t>crop_group</t>
  </si>
  <si>
    <t>year</t>
  </si>
  <si>
    <t>area_planted_rai</t>
  </si>
  <si>
    <t>area_harvested_rai</t>
  </si>
  <si>
    <t>Chiang Mai</t>
  </si>
  <si>
    <t>North</t>
  </si>
  <si>
    <t>Field Crop</t>
  </si>
  <si>
    <t>Nakhon Ratchasima</t>
  </si>
  <si>
    <t>Northeast</t>
  </si>
  <si>
    <t>Suphan Buri</t>
  </si>
  <si>
    <t>Central</t>
  </si>
  <si>
    <t>alt_spelling_1</t>
  </si>
  <si>
    <t>alt_spelling_2</t>
  </si>
  <si>
    <t>Note: names use standard English transliteration. Verify each against</t>
  </si>
  <si>
    <t>Bangkok</t>
  </si>
  <si>
    <t>the actual geojson's properties.name (see debug expander in the map script) —</t>
  </si>
  <si>
    <t>Amnat Charoen</t>
  </si>
  <si>
    <t>small spelling differences (e.g. Chon Buri vs Chonburi) will silently break the join.</t>
  </si>
  <si>
    <t>Ang Thong</t>
  </si>
  <si>
    <t>Bueng Kan</t>
  </si>
  <si>
    <t>Buriram</t>
  </si>
  <si>
    <t>Chachoengsao</t>
  </si>
  <si>
    <t>East</t>
  </si>
  <si>
    <t>Chai Nat</t>
  </si>
  <si>
    <t>Chaiyaphum</t>
  </si>
  <si>
    <t>Chanthaburi</t>
  </si>
  <si>
    <t>Chiang Rai</t>
  </si>
  <si>
    <t>Chonburi</t>
  </si>
  <si>
    <t>Chumphon</t>
  </si>
  <si>
    <t>South</t>
  </si>
  <si>
    <t>Kalasin</t>
  </si>
  <si>
    <t>Kamphaeng Phet</t>
  </si>
  <si>
    <t>Kanchanaburi</t>
  </si>
  <si>
    <t>West</t>
  </si>
  <si>
    <t>Khon Kaen</t>
  </si>
  <si>
    <t>Krabi</t>
  </si>
  <si>
    <t>Lamphun</t>
  </si>
  <si>
    <t>Loei</t>
  </si>
  <si>
    <t>Lopburi</t>
  </si>
  <si>
    <t>Mae Hong Son</t>
  </si>
  <si>
    <t>Maha Sarakham</t>
  </si>
  <si>
    <t>Mukdahan</t>
  </si>
  <si>
    <t>Nakhon Nayok</t>
  </si>
  <si>
    <t>Nakhon Pathom</t>
  </si>
  <si>
    <t>Nakhon Phanom</t>
  </si>
  <si>
    <t>Nakhon Sawan</t>
  </si>
  <si>
    <t>Nakhon Si Thammarat</t>
  </si>
  <si>
    <t>Nan</t>
  </si>
  <si>
    <t>Narathiwat</t>
  </si>
  <si>
    <t>Nong Bua Lamphu</t>
  </si>
  <si>
    <t>Nong Khai</t>
  </si>
  <si>
    <t>Nonthaburi</t>
  </si>
  <si>
    <t>Pathum Thani</t>
  </si>
  <si>
    <t>Pattani</t>
  </si>
  <si>
    <t>Phang Nga</t>
  </si>
  <si>
    <t>Phatthalung</t>
  </si>
  <si>
    <t>Phayao</t>
  </si>
  <si>
    <t>Phetchabun</t>
  </si>
  <si>
    <t>Phetchaburi</t>
  </si>
  <si>
    <t>Phichit</t>
  </si>
  <si>
    <t>Phitsanulok</t>
  </si>
  <si>
    <t>Phra Nakhon Si Ayutthaya</t>
  </si>
  <si>
    <t>Phrae</t>
  </si>
  <si>
    <t>Phuket</t>
  </si>
  <si>
    <t>Prachinburi</t>
  </si>
  <si>
    <t>Prachuap Khiri Khan</t>
  </si>
  <si>
    <t>Ranong</t>
  </si>
  <si>
    <t>Ratchaburi</t>
  </si>
  <si>
    <t>Rayong</t>
  </si>
  <si>
    <t>Roi Et</t>
  </si>
  <si>
    <t>Sa Kaeo</t>
  </si>
  <si>
    <t>Sakon Nakhon</t>
  </si>
  <si>
    <t>Samut Prakan</t>
  </si>
  <si>
    <t>Samut Sakhon</t>
  </si>
  <si>
    <t>Samut Songkhram</t>
  </si>
  <si>
    <t>Saraburi</t>
  </si>
  <si>
    <t>Satun</t>
  </si>
  <si>
    <t>Sing Buri</t>
  </si>
  <si>
    <t>Sisaket</t>
  </si>
  <si>
    <t>Songkhla</t>
  </si>
  <si>
    <t>Sukhothai</t>
  </si>
  <si>
    <t>Surat Thani</t>
  </si>
  <si>
    <t>Surin</t>
  </si>
  <si>
    <t>Tak</t>
  </si>
  <si>
    <t>Trang</t>
  </si>
  <si>
    <t>Trat</t>
  </si>
  <si>
    <t>Ubon Ratchathani</t>
  </si>
  <si>
    <t>Udon Thani</t>
  </si>
  <si>
    <t>Uthai Thani</t>
  </si>
  <si>
    <t>Uttaradit</t>
  </si>
  <si>
    <t>Yala</t>
  </si>
  <si>
    <t>Yasothon</t>
  </si>
  <si>
    <t>SHK_region</t>
  </si>
  <si>
    <t>Bangkok Metropolis</t>
  </si>
  <si>
    <t>Buri Ram</t>
  </si>
  <si>
    <t>Chon Buri</t>
  </si>
  <si>
    <t>Lop Buri</t>
  </si>
  <si>
    <t>Nong Bua Lam Phu</t>
  </si>
  <si>
    <t>Phangnga</t>
  </si>
  <si>
    <t>Prachin Buri</t>
  </si>
  <si>
    <t>Si Sa Ket</t>
  </si>
  <si>
    <t>Lampang</t>
  </si>
  <si>
    <t>yield_per_rai</t>
  </si>
  <si>
    <t>total_production</t>
  </si>
  <si>
    <t>off-season rice</t>
  </si>
  <si>
    <t>in-season rice</t>
  </si>
  <si>
    <t>Permanent Crops</t>
  </si>
  <si>
    <t>Durian</t>
  </si>
  <si>
    <t>Pineapple</t>
  </si>
  <si>
    <t>Potato</t>
  </si>
  <si>
    <t>Vegetable</t>
  </si>
  <si>
    <t>Coffee</t>
  </si>
  <si>
    <t>Sweet Corn</t>
  </si>
  <si>
    <t>Thailand</t>
  </si>
  <si>
    <t>National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</si>
</sst>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name val="Arial"/>
      <family val="2"/>
    </font>
    <font>
      <i/>
      <sz val="9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3" fillId="0" borderId="0" xfId="0" applyFont="1"/>
    <xf numFmtId="0" fontId="2" fillId="0" borderId="0" xfId="0" applyFont="1"/>
    <xf numFmtId="3" fontId="2" fillId="3" borderId="0" xfId="0" applyNumberFormat="1" applyFont="1" applyFill="1"/>
    <xf numFmtId="0" fontId="1" fillId="4" borderId="0" xfId="0" applyFont="1" applyFill="1"/>
    <xf numFmtId="0" fontId="0" fillId="5" borderId="0" xfId="0" applyFill="1"/>
    <xf numFmtId="0" fontId="4" fillId="0" borderId="1" xfId="0" applyFont="1" applyBorder="1" applyAlignment="1">
      <alignment horizontal="left"/>
    </xf>
    <xf numFmtId="3" fontId="4" fillId="0" borderId="1" xfId="0" applyNumberFormat="1" applyFont="1" applyBorder="1" applyAlignment="1">
      <alignment horizontal="right"/>
    </xf>
    <xf numFmtId="2" fontId="4" fillId="0" borderId="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245EF5E-3516-324A-BB90-B4911617C776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c2101e19-920b-4fe3-8db6-743328a393fe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8"/>
  <sheetViews>
    <sheetView tabSelected="1" topLeftCell="A179" workbookViewId="0">
      <selection activeCell="A47" sqref="A47"/>
    </sheetView>
  </sheetViews>
  <sheetFormatPr baseColWidth="10" defaultColWidth="8.83203125" defaultRowHeight="15" x14ac:dyDescent="0.2"/>
  <cols>
    <col min="1" max="1" width="20" customWidth="1"/>
    <col min="2" max="2" width="12" customWidth="1"/>
    <col min="3" max="3" width="16" customWidth="1"/>
    <col min="4" max="4" width="14" customWidth="1"/>
    <col min="5" max="5" width="8" customWidth="1"/>
    <col min="6" max="6" width="16" customWidth="1"/>
    <col min="7" max="9" width="18" customWidth="1"/>
    <col min="10" max="10" width="13.33203125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106</v>
      </c>
      <c r="I1" s="1" t="s">
        <v>105</v>
      </c>
      <c r="J1" s="1" t="s">
        <v>95</v>
      </c>
    </row>
    <row r="2" spans="1:10" x14ac:dyDescent="0.2">
      <c r="A2" s="8" t="s">
        <v>29</v>
      </c>
      <c r="B2" s="2" t="str">
        <f>_xlfn.XLOOKUP(A2,province_lookup!$A:$A,province_lookup!$B:$B)</f>
        <v>North</v>
      </c>
      <c r="C2" s="2" t="s">
        <v>107</v>
      </c>
      <c r="D2" s="2" t="s">
        <v>9</v>
      </c>
      <c r="E2" s="2">
        <v>2025</v>
      </c>
      <c r="F2" s="9">
        <v>508845</v>
      </c>
      <c r="G2" s="9">
        <v>509983</v>
      </c>
      <c r="H2" s="9">
        <v>344597</v>
      </c>
      <c r="I2" s="5">
        <f>(H2*1000)/F2</f>
        <v>677.21408287395968</v>
      </c>
    </row>
    <row r="3" spans="1:10" x14ac:dyDescent="0.2">
      <c r="A3" s="8" t="s">
        <v>59</v>
      </c>
      <c r="B3" s="2" t="str">
        <f>_xlfn.XLOOKUP(A3,province_lookup!$A:$A,province_lookup!$B:$B)</f>
        <v>North</v>
      </c>
      <c r="C3" s="2" t="s">
        <v>107</v>
      </c>
      <c r="D3" s="2" t="s">
        <v>9</v>
      </c>
      <c r="E3" s="2">
        <v>2025</v>
      </c>
      <c r="F3" s="9">
        <v>95378</v>
      </c>
      <c r="G3" s="9">
        <v>95550</v>
      </c>
      <c r="H3" s="9">
        <v>61982</v>
      </c>
      <c r="I3" s="5">
        <f t="shared" ref="I3:I66" si="0">(H3*1000)/F3</f>
        <v>649.85636100568263</v>
      </c>
    </row>
    <row r="4" spans="1:10" x14ac:dyDescent="0.2">
      <c r="A4" s="8" t="s">
        <v>104</v>
      </c>
      <c r="B4" s="2" t="str">
        <f>_xlfn.XLOOKUP(A4,province_lookup!$A:$A,province_lookup!$B:$B)</f>
        <v>North</v>
      </c>
      <c r="C4" s="2" t="s">
        <v>107</v>
      </c>
      <c r="D4" s="2" t="s">
        <v>9</v>
      </c>
      <c r="E4" s="2">
        <v>2025</v>
      </c>
      <c r="F4" s="9">
        <v>58624</v>
      </c>
      <c r="G4" s="9">
        <v>58745</v>
      </c>
      <c r="H4" s="9">
        <v>33427</v>
      </c>
      <c r="I4" s="5">
        <f t="shared" si="0"/>
        <v>570.19309497816596</v>
      </c>
    </row>
    <row r="5" spans="1:10" x14ac:dyDescent="0.2">
      <c r="A5" s="8" t="s">
        <v>39</v>
      </c>
      <c r="B5" s="2" t="str">
        <f>_xlfn.XLOOKUP(A5,province_lookup!$A:$A,province_lookup!$B:$B)</f>
        <v>North</v>
      </c>
      <c r="C5" s="2" t="s">
        <v>107</v>
      </c>
      <c r="D5" s="2" t="s">
        <v>9</v>
      </c>
      <c r="E5" s="2">
        <v>2025</v>
      </c>
      <c r="F5" s="9">
        <v>26539</v>
      </c>
      <c r="G5" s="9">
        <v>26553</v>
      </c>
      <c r="H5" s="9">
        <v>17950</v>
      </c>
      <c r="I5" s="5">
        <f t="shared" si="0"/>
        <v>676.36308828516519</v>
      </c>
    </row>
    <row r="6" spans="1:10" x14ac:dyDescent="0.2">
      <c r="A6" s="8" t="s">
        <v>7</v>
      </c>
      <c r="B6" s="2" t="str">
        <f>_xlfn.XLOOKUP(A6,province_lookup!$A:$A,province_lookup!$B:$B)</f>
        <v>North</v>
      </c>
      <c r="C6" s="2" t="s">
        <v>107</v>
      </c>
      <c r="D6" s="2" t="s">
        <v>9</v>
      </c>
      <c r="E6" s="2">
        <v>2025</v>
      </c>
      <c r="F6" s="9">
        <v>160991</v>
      </c>
      <c r="G6" s="9">
        <v>161324</v>
      </c>
      <c r="H6" s="9">
        <v>114576</v>
      </c>
      <c r="I6" s="5">
        <f t="shared" si="0"/>
        <v>711.69195793553672</v>
      </c>
    </row>
    <row r="7" spans="1:10" x14ac:dyDescent="0.2">
      <c r="A7" s="8" t="s">
        <v>42</v>
      </c>
      <c r="B7" s="2" t="str">
        <f>_xlfn.XLOOKUP(A7,province_lookup!$A:$A,province_lookup!$B:$B)</f>
        <v>North</v>
      </c>
      <c r="C7" s="2" t="s">
        <v>107</v>
      </c>
      <c r="D7" s="2" t="s">
        <v>9</v>
      </c>
      <c r="E7" s="2">
        <v>2025</v>
      </c>
      <c r="F7" s="9">
        <v>75</v>
      </c>
      <c r="G7" s="9">
        <v>75</v>
      </c>
      <c r="H7" s="9">
        <v>45</v>
      </c>
      <c r="I7" s="5">
        <f t="shared" si="0"/>
        <v>600</v>
      </c>
    </row>
    <row r="8" spans="1:10" x14ac:dyDescent="0.2">
      <c r="A8" s="8" t="s">
        <v>86</v>
      </c>
      <c r="B8" t="str">
        <f>_xlfn.XLOOKUP(A8,province_lookup!$A:$A,province_lookup!$B:$B)</f>
        <v>North</v>
      </c>
      <c r="C8" s="2" t="s">
        <v>107</v>
      </c>
      <c r="D8" s="2" t="s">
        <v>9</v>
      </c>
      <c r="E8" s="2">
        <v>2025</v>
      </c>
      <c r="F8" s="9">
        <v>29705</v>
      </c>
      <c r="G8" s="9">
        <v>30231</v>
      </c>
      <c r="H8" s="9">
        <v>16536</v>
      </c>
      <c r="I8" s="5">
        <f t="shared" si="0"/>
        <v>556.67396061269142</v>
      </c>
    </row>
    <row r="9" spans="1:10" x14ac:dyDescent="0.2">
      <c r="A9" s="8" t="s">
        <v>34</v>
      </c>
      <c r="B9" t="str">
        <f>_xlfn.XLOOKUP(A9,province_lookup!$A:$A,province_lookup!$B:$B)</f>
        <v>North</v>
      </c>
      <c r="C9" s="2" t="s">
        <v>107</v>
      </c>
      <c r="D9" s="2" t="s">
        <v>9</v>
      </c>
      <c r="E9" s="2">
        <v>2025</v>
      </c>
      <c r="F9" s="9">
        <v>597085</v>
      </c>
      <c r="G9" s="9">
        <v>599457</v>
      </c>
      <c r="H9" s="9">
        <v>379944</v>
      </c>
      <c r="I9" s="5">
        <f t="shared" si="0"/>
        <v>636.33151058894464</v>
      </c>
    </row>
    <row r="10" spans="1:10" x14ac:dyDescent="0.2">
      <c r="A10" s="8" t="s">
        <v>83</v>
      </c>
      <c r="B10" t="str">
        <f>_xlfn.XLOOKUP(A10,province_lookup!$A:$A,province_lookup!$B:$B)</f>
        <v>North</v>
      </c>
      <c r="C10" s="2" t="s">
        <v>107</v>
      </c>
      <c r="D10" s="2" t="s">
        <v>9</v>
      </c>
      <c r="E10" s="2">
        <v>2025</v>
      </c>
      <c r="F10" s="9">
        <v>570445</v>
      </c>
      <c r="G10" s="9">
        <v>572402</v>
      </c>
      <c r="H10" s="9">
        <v>326008</v>
      </c>
      <c r="I10" s="5">
        <f t="shared" si="0"/>
        <v>571.49769039960029</v>
      </c>
    </row>
    <row r="11" spans="1:10" x14ac:dyDescent="0.2">
      <c r="A11" s="8" t="s">
        <v>65</v>
      </c>
      <c r="B11" t="str">
        <f>_xlfn.XLOOKUP(A11,province_lookup!$A:$A,province_lookup!$B:$B)</f>
        <v>North</v>
      </c>
      <c r="C11" s="2" t="s">
        <v>107</v>
      </c>
      <c r="D11" s="2" t="s">
        <v>9</v>
      </c>
      <c r="E11" s="2">
        <v>2025</v>
      </c>
      <c r="F11" s="9">
        <v>52874</v>
      </c>
      <c r="G11" s="9">
        <v>53275</v>
      </c>
      <c r="H11" s="9">
        <v>31692</v>
      </c>
      <c r="I11" s="5">
        <f t="shared" si="0"/>
        <v>599.38722245337976</v>
      </c>
    </row>
    <row r="12" spans="1:10" x14ac:dyDescent="0.2">
      <c r="A12" s="8" t="s">
        <v>50</v>
      </c>
      <c r="B12" t="str">
        <f>_xlfn.XLOOKUP(A12,province_lookup!$A:$A,province_lookup!$B:$B)</f>
        <v>North</v>
      </c>
      <c r="C12" s="2" t="s">
        <v>107</v>
      </c>
      <c r="D12" s="2" t="s">
        <v>9</v>
      </c>
      <c r="E12" s="2">
        <v>2025</v>
      </c>
      <c r="F12" s="9">
        <v>14375</v>
      </c>
      <c r="G12" s="9">
        <v>14405</v>
      </c>
      <c r="H12" s="9">
        <v>8357</v>
      </c>
      <c r="I12" s="5">
        <f t="shared" si="0"/>
        <v>581.35652173913047</v>
      </c>
    </row>
    <row r="13" spans="1:10" x14ac:dyDescent="0.2">
      <c r="A13" s="8" t="s">
        <v>92</v>
      </c>
      <c r="B13" t="str">
        <f>_xlfn.XLOOKUP(A13,province_lookup!$A:$A,province_lookup!$B:$B)</f>
        <v>North</v>
      </c>
      <c r="C13" s="2" t="s">
        <v>107</v>
      </c>
      <c r="D13" s="2" t="s">
        <v>9</v>
      </c>
      <c r="E13" s="2">
        <v>2025</v>
      </c>
      <c r="F13" s="9">
        <v>363532</v>
      </c>
      <c r="G13" s="9">
        <v>364226</v>
      </c>
      <c r="H13" s="9">
        <v>243209</v>
      </c>
      <c r="I13" s="5">
        <f t="shared" si="0"/>
        <v>669.01675780949131</v>
      </c>
    </row>
    <row r="14" spans="1:10" x14ac:dyDescent="0.2">
      <c r="A14" s="8" t="s">
        <v>63</v>
      </c>
      <c r="B14" t="str">
        <f>_xlfn.XLOOKUP(A14,province_lookup!$A:$A,province_lookup!$B:$B)</f>
        <v>North</v>
      </c>
      <c r="C14" s="2" t="s">
        <v>107</v>
      </c>
      <c r="D14" s="2" t="s">
        <v>9</v>
      </c>
      <c r="E14" s="2">
        <v>2025</v>
      </c>
      <c r="F14" s="9">
        <v>830851</v>
      </c>
      <c r="G14" s="9">
        <v>832221</v>
      </c>
      <c r="H14" s="9">
        <v>523923</v>
      </c>
      <c r="I14" s="5">
        <f t="shared" si="0"/>
        <v>630.58598954565866</v>
      </c>
    </row>
    <row r="15" spans="1:10" x14ac:dyDescent="0.2">
      <c r="A15" s="8" t="s">
        <v>62</v>
      </c>
      <c r="B15" t="str">
        <f>_xlfn.XLOOKUP(A15,province_lookup!$A:$A,province_lookup!$B:$B)</f>
        <v>Central</v>
      </c>
      <c r="C15" s="2" t="s">
        <v>107</v>
      </c>
      <c r="D15" s="2" t="s">
        <v>9</v>
      </c>
      <c r="E15" s="2">
        <v>2025</v>
      </c>
      <c r="F15" s="9">
        <v>824730</v>
      </c>
      <c r="G15" s="9">
        <v>827349</v>
      </c>
      <c r="H15" s="9">
        <v>549720</v>
      </c>
      <c r="I15" s="5">
        <f t="shared" si="0"/>
        <v>666.54541486304606</v>
      </c>
    </row>
    <row r="16" spans="1:10" x14ac:dyDescent="0.2">
      <c r="A16" s="8" t="s">
        <v>48</v>
      </c>
      <c r="B16" t="str">
        <f>_xlfn.XLOOKUP(A16,province_lookup!$A:$A,province_lookup!$B:$B)</f>
        <v>Central</v>
      </c>
      <c r="C16" s="2" t="s">
        <v>107</v>
      </c>
      <c r="D16" s="2" t="s">
        <v>9</v>
      </c>
      <c r="E16" s="2">
        <v>2025</v>
      </c>
      <c r="F16" s="9">
        <v>911229</v>
      </c>
      <c r="G16" s="9">
        <v>913188</v>
      </c>
      <c r="H16" s="9">
        <v>619783</v>
      </c>
      <c r="I16" s="5">
        <f t="shared" si="0"/>
        <v>680.16162786741859</v>
      </c>
    </row>
    <row r="17" spans="1:9" x14ac:dyDescent="0.2">
      <c r="A17" s="8" t="s">
        <v>91</v>
      </c>
      <c r="B17" t="str">
        <f>_xlfn.XLOOKUP(A17,province_lookup!$A:$A,province_lookup!$B:$B)</f>
        <v>Central</v>
      </c>
      <c r="C17" s="2" t="s">
        <v>107</v>
      </c>
      <c r="D17" s="2" t="s">
        <v>9</v>
      </c>
      <c r="E17" s="2">
        <v>2025</v>
      </c>
      <c r="F17" s="9">
        <v>168571</v>
      </c>
      <c r="G17" s="9">
        <v>169232</v>
      </c>
      <c r="H17" s="9">
        <v>109910</v>
      </c>
      <c r="I17" s="5">
        <f t="shared" si="0"/>
        <v>652.01013222914969</v>
      </c>
    </row>
    <row r="18" spans="1:9" x14ac:dyDescent="0.2">
      <c r="A18" s="8" t="s">
        <v>60</v>
      </c>
      <c r="B18" t="str">
        <f>_xlfn.XLOOKUP(A18,province_lookup!$A:$A,province_lookup!$B:$B)</f>
        <v>Central</v>
      </c>
      <c r="C18" s="2" t="s">
        <v>107</v>
      </c>
      <c r="D18" s="2" t="s">
        <v>9</v>
      </c>
      <c r="E18" s="2">
        <v>2025</v>
      </c>
      <c r="F18" s="9">
        <v>56757</v>
      </c>
      <c r="G18" s="9">
        <v>56937</v>
      </c>
      <c r="H18" s="9">
        <v>35026</v>
      </c>
      <c r="I18" s="5">
        <f t="shared" si="0"/>
        <v>617.12211709568862</v>
      </c>
    </row>
    <row r="19" spans="1:9" x14ac:dyDescent="0.2">
      <c r="A19" s="8" t="s">
        <v>40</v>
      </c>
      <c r="B19" t="str">
        <f>_xlfn.XLOOKUP(A19,province_lookup!$A:$A,province_lookup!$B:$B)</f>
        <v>Northeast</v>
      </c>
      <c r="C19" s="2" t="s">
        <v>107</v>
      </c>
      <c r="D19" s="2" t="s">
        <v>9</v>
      </c>
      <c r="E19" s="2">
        <v>2025</v>
      </c>
      <c r="F19" s="9">
        <v>1287</v>
      </c>
      <c r="G19" s="9">
        <v>1307</v>
      </c>
      <c r="H19" s="9">
        <v>517</v>
      </c>
      <c r="I19" s="5">
        <f t="shared" si="0"/>
        <v>401.70940170940173</v>
      </c>
    </row>
    <row r="20" spans="1:9" x14ac:dyDescent="0.2">
      <c r="A20" s="8" t="s">
        <v>100</v>
      </c>
      <c r="B20" t="str">
        <f>_xlfn.XLOOKUP(A20,province_lookup!$A:$A,province_lookup!$B:$B)</f>
        <v>Northeast</v>
      </c>
      <c r="C20" s="2" t="s">
        <v>107</v>
      </c>
      <c r="D20" s="2" t="s">
        <v>9</v>
      </c>
      <c r="E20" s="2">
        <v>2025</v>
      </c>
      <c r="F20" s="9">
        <v>37317</v>
      </c>
      <c r="G20" s="9">
        <v>37604</v>
      </c>
      <c r="H20" s="9">
        <v>19934</v>
      </c>
      <c r="I20" s="5">
        <f t="shared" si="0"/>
        <v>534.18013237934451</v>
      </c>
    </row>
    <row r="21" spans="1:9" x14ac:dyDescent="0.2">
      <c r="A21" s="8" t="s">
        <v>90</v>
      </c>
      <c r="B21" t="str">
        <f>_xlfn.XLOOKUP(A21,province_lookup!$A:$A,province_lookup!$B:$B)</f>
        <v>Northeast</v>
      </c>
      <c r="C21" s="2" t="s">
        <v>107</v>
      </c>
      <c r="D21" s="2" t="s">
        <v>9</v>
      </c>
      <c r="E21" s="2">
        <v>2025</v>
      </c>
      <c r="F21" s="9">
        <v>77366</v>
      </c>
      <c r="G21" s="9">
        <v>77493</v>
      </c>
      <c r="H21" s="9">
        <v>40728</v>
      </c>
      <c r="I21" s="5">
        <f t="shared" si="0"/>
        <v>526.43279993795727</v>
      </c>
    </row>
    <row r="22" spans="1:9" x14ac:dyDescent="0.2">
      <c r="A22" s="8" t="s">
        <v>53</v>
      </c>
      <c r="B22" t="str">
        <f>_xlfn.XLOOKUP(A22,province_lookup!$A:$A,province_lookup!$B:$B)</f>
        <v>Northeast</v>
      </c>
      <c r="C22" s="2" t="s">
        <v>107</v>
      </c>
      <c r="D22" s="2" t="s">
        <v>9</v>
      </c>
      <c r="E22" s="2">
        <v>2025</v>
      </c>
      <c r="F22" s="9">
        <v>115461</v>
      </c>
      <c r="G22" s="9">
        <v>116092</v>
      </c>
      <c r="H22" s="9">
        <v>61557</v>
      </c>
      <c r="I22" s="5">
        <f t="shared" si="0"/>
        <v>533.14106061787095</v>
      </c>
    </row>
    <row r="23" spans="1:9" x14ac:dyDescent="0.2">
      <c r="A23" s="8" t="s">
        <v>22</v>
      </c>
      <c r="B23" t="str">
        <f>_xlfn.XLOOKUP(A23,province_lookup!$A:$A,province_lookup!$B:$B)</f>
        <v>Northeast</v>
      </c>
      <c r="C23" s="2" t="s">
        <v>107</v>
      </c>
      <c r="D23" s="2" t="s">
        <v>9</v>
      </c>
      <c r="E23" s="2">
        <v>2025</v>
      </c>
      <c r="F23" s="9">
        <v>20170</v>
      </c>
      <c r="G23" s="9">
        <v>20305</v>
      </c>
      <c r="H23" s="9">
        <v>10176</v>
      </c>
      <c r="I23" s="5">
        <f t="shared" si="0"/>
        <v>504.51165096678233</v>
      </c>
    </row>
    <row r="24" spans="1:9" x14ac:dyDescent="0.2">
      <c r="A24" s="8" t="s">
        <v>74</v>
      </c>
      <c r="B24" t="str">
        <f>_xlfn.XLOOKUP(A24,province_lookup!$A:$A,province_lookup!$B:$B)</f>
        <v>Northeast</v>
      </c>
      <c r="C24" s="2" t="s">
        <v>107</v>
      </c>
      <c r="D24" s="2" t="s">
        <v>9</v>
      </c>
      <c r="E24" s="2">
        <v>2025</v>
      </c>
      <c r="F24" s="9">
        <v>141462</v>
      </c>
      <c r="G24" s="9">
        <v>142040</v>
      </c>
      <c r="H24" s="9">
        <v>69131</v>
      </c>
      <c r="I24" s="5">
        <f t="shared" si="0"/>
        <v>488.68954206783445</v>
      </c>
    </row>
    <row r="25" spans="1:9" x14ac:dyDescent="0.2">
      <c r="A25" s="8" t="s">
        <v>47</v>
      </c>
      <c r="B25" t="str">
        <f>_xlfn.XLOOKUP(A25,province_lookup!$A:$A,province_lookup!$B:$B)</f>
        <v>Northeast</v>
      </c>
      <c r="C25" s="2" t="s">
        <v>107</v>
      </c>
      <c r="D25" s="2" t="s">
        <v>9</v>
      </c>
      <c r="E25" s="2">
        <v>2025</v>
      </c>
      <c r="F25" s="9">
        <v>107483</v>
      </c>
      <c r="G25" s="9">
        <v>107851</v>
      </c>
      <c r="H25" s="9">
        <v>56248</v>
      </c>
      <c r="I25" s="5">
        <f t="shared" si="0"/>
        <v>523.31996687848311</v>
      </c>
    </row>
    <row r="26" spans="1:9" x14ac:dyDescent="0.2">
      <c r="A26" s="8" t="s">
        <v>44</v>
      </c>
      <c r="B26" t="str">
        <f>_xlfn.XLOOKUP(A26,province_lookup!$A:$A,province_lookup!$B:$B)</f>
        <v>Northeast</v>
      </c>
      <c r="C26" s="2" t="s">
        <v>107</v>
      </c>
      <c r="D26" s="2" t="s">
        <v>9</v>
      </c>
      <c r="E26" s="2">
        <v>2025</v>
      </c>
      <c r="F26" s="9">
        <v>1800</v>
      </c>
      <c r="G26" s="9">
        <v>1800</v>
      </c>
      <c r="H26" s="9">
        <v>944</v>
      </c>
      <c r="I26" s="5">
        <f t="shared" si="0"/>
        <v>524.44444444444446</v>
      </c>
    </row>
    <row r="27" spans="1:9" x14ac:dyDescent="0.2">
      <c r="A27" s="8" t="s">
        <v>94</v>
      </c>
      <c r="B27" t="str">
        <f>_xlfn.XLOOKUP(A27,province_lookup!$A:$A,province_lookup!$B:$B)</f>
        <v>Northeast</v>
      </c>
      <c r="C27" s="2" t="s">
        <v>107</v>
      </c>
      <c r="D27" s="2" t="s">
        <v>9</v>
      </c>
      <c r="E27" s="2">
        <v>2025</v>
      </c>
      <c r="F27" s="9">
        <v>114344</v>
      </c>
      <c r="G27" s="9">
        <v>114574</v>
      </c>
      <c r="H27" s="9">
        <v>71867</v>
      </c>
      <c r="I27" s="5">
        <f t="shared" si="0"/>
        <v>628.51570698943544</v>
      </c>
    </row>
    <row r="28" spans="1:9" x14ac:dyDescent="0.2">
      <c r="A28" s="8" t="s">
        <v>19</v>
      </c>
      <c r="B28" t="str">
        <f>_xlfn.XLOOKUP(A28,province_lookup!$A:$A,province_lookup!$B:$B)</f>
        <v>Northeast</v>
      </c>
      <c r="C28" s="2" t="s">
        <v>107</v>
      </c>
      <c r="D28" s="2" t="s">
        <v>9</v>
      </c>
      <c r="E28" s="2">
        <v>2025</v>
      </c>
      <c r="F28" s="9">
        <v>4252</v>
      </c>
      <c r="G28" s="9">
        <v>4252</v>
      </c>
      <c r="H28" s="9">
        <v>2060</v>
      </c>
      <c r="I28" s="5">
        <f t="shared" si="0"/>
        <v>484.47789275634995</v>
      </c>
    </row>
    <row r="29" spans="1:9" x14ac:dyDescent="0.2">
      <c r="A29" s="8" t="s">
        <v>89</v>
      </c>
      <c r="B29" t="str">
        <f>_xlfn.XLOOKUP(A29,province_lookup!$A:$A,province_lookup!$B:$B)</f>
        <v>Northeast</v>
      </c>
      <c r="C29" s="2" t="s">
        <v>107</v>
      </c>
      <c r="D29" s="2" t="s">
        <v>9</v>
      </c>
      <c r="E29" s="2">
        <v>2025</v>
      </c>
      <c r="F29" s="9">
        <v>173800</v>
      </c>
      <c r="G29" s="9">
        <v>174428</v>
      </c>
      <c r="H29" s="9">
        <v>85813</v>
      </c>
      <c r="I29" s="5">
        <f t="shared" si="0"/>
        <v>493.74568469505181</v>
      </c>
    </row>
    <row r="30" spans="1:9" x14ac:dyDescent="0.2">
      <c r="A30" s="8" t="s">
        <v>103</v>
      </c>
      <c r="B30" t="str">
        <f>_xlfn.XLOOKUP(A30,province_lookup!$A:$A,province_lookup!$B:$B)</f>
        <v>Northeast</v>
      </c>
      <c r="C30" s="2" t="s">
        <v>107</v>
      </c>
      <c r="D30" s="2" t="s">
        <v>9</v>
      </c>
      <c r="E30" s="2">
        <v>2025</v>
      </c>
      <c r="F30" s="9">
        <v>116193</v>
      </c>
      <c r="G30" s="9">
        <v>116523</v>
      </c>
      <c r="H30" s="9">
        <v>61491</v>
      </c>
      <c r="I30" s="5">
        <f t="shared" si="0"/>
        <v>529.21432444295272</v>
      </c>
    </row>
    <row r="31" spans="1:9" x14ac:dyDescent="0.2">
      <c r="A31" s="8" t="s">
        <v>85</v>
      </c>
      <c r="B31" t="str">
        <f>_xlfn.XLOOKUP(A31,province_lookup!$A:$A,province_lookup!$B:$B)</f>
        <v>Northeast</v>
      </c>
      <c r="C31" s="2" t="s">
        <v>107</v>
      </c>
      <c r="D31" s="2" t="s">
        <v>9</v>
      </c>
      <c r="E31" s="2">
        <v>2025</v>
      </c>
      <c r="F31" s="9">
        <v>124811</v>
      </c>
      <c r="G31" s="9">
        <v>125306</v>
      </c>
      <c r="H31" s="9">
        <v>56798</v>
      </c>
      <c r="I31" s="5">
        <f t="shared" si="0"/>
        <v>455.07206896828006</v>
      </c>
    </row>
    <row r="32" spans="1:9" x14ac:dyDescent="0.2">
      <c r="A32" s="8" t="s">
        <v>97</v>
      </c>
      <c r="B32" t="str">
        <f>_xlfn.XLOOKUP(A32,province_lookup!$A:$A,province_lookup!$B:$B)</f>
        <v>Northeast</v>
      </c>
      <c r="C32" s="2" t="s">
        <v>107</v>
      </c>
      <c r="D32" s="2" t="s">
        <v>9</v>
      </c>
      <c r="E32" s="2">
        <v>2025</v>
      </c>
      <c r="F32" s="9">
        <v>52118</v>
      </c>
      <c r="G32" s="9">
        <v>52606</v>
      </c>
      <c r="H32" s="9">
        <v>25772</v>
      </c>
      <c r="I32" s="5">
        <f t="shared" si="0"/>
        <v>494.49326528262787</v>
      </c>
    </row>
    <row r="33" spans="1:9" x14ac:dyDescent="0.2">
      <c r="A33" s="8" t="s">
        <v>43</v>
      </c>
      <c r="B33" t="str">
        <f>_xlfn.XLOOKUP(A33,province_lookup!$A:$A,province_lookup!$B:$B)</f>
        <v>Northeast</v>
      </c>
      <c r="C33" s="2" t="s">
        <v>107</v>
      </c>
      <c r="D33" s="2" t="s">
        <v>9</v>
      </c>
      <c r="E33" s="2">
        <v>2025</v>
      </c>
      <c r="F33" s="9">
        <v>215483</v>
      </c>
      <c r="G33" s="9">
        <v>215843</v>
      </c>
      <c r="H33" s="9">
        <v>128020</v>
      </c>
      <c r="I33" s="5">
        <f t="shared" si="0"/>
        <v>594.10719175062536</v>
      </c>
    </row>
    <row r="34" spans="1:9" x14ac:dyDescent="0.2">
      <c r="A34" s="8" t="s">
        <v>72</v>
      </c>
      <c r="B34" t="str">
        <f>_xlfn.XLOOKUP(A34,province_lookup!$A:$A,province_lookup!$B:$B)</f>
        <v>Northeast</v>
      </c>
      <c r="C34" s="2" t="s">
        <v>107</v>
      </c>
      <c r="D34" s="2" t="s">
        <v>9</v>
      </c>
      <c r="E34" s="2">
        <v>2025</v>
      </c>
      <c r="F34" s="9">
        <v>327499</v>
      </c>
      <c r="G34" s="9">
        <v>328541</v>
      </c>
      <c r="H34" s="9">
        <v>188400</v>
      </c>
      <c r="I34" s="5">
        <f t="shared" si="0"/>
        <v>575.26893211887671</v>
      </c>
    </row>
    <row r="35" spans="1:9" x14ac:dyDescent="0.2">
      <c r="A35" s="8" t="s">
        <v>33</v>
      </c>
      <c r="B35" t="str">
        <f>_xlfn.XLOOKUP(A35,province_lookup!$A:$A,province_lookup!$B:$B)</f>
        <v>Northeast</v>
      </c>
      <c r="C35" s="2" t="s">
        <v>107</v>
      </c>
      <c r="D35" s="2" t="s">
        <v>9</v>
      </c>
      <c r="E35" s="2">
        <v>2025</v>
      </c>
      <c r="F35" s="9">
        <v>316135</v>
      </c>
      <c r="G35" s="9">
        <v>317325</v>
      </c>
      <c r="H35" s="9">
        <v>206022</v>
      </c>
      <c r="I35" s="5">
        <f t="shared" si="0"/>
        <v>651.68994258781845</v>
      </c>
    </row>
    <row r="36" spans="1:9" x14ac:dyDescent="0.2">
      <c r="A36" s="8" t="s">
        <v>37</v>
      </c>
      <c r="B36" t="str">
        <f>_xlfn.XLOOKUP(A36,province_lookup!$A:$A,province_lookup!$B:$B)</f>
        <v>Northeast</v>
      </c>
      <c r="C36" s="2" t="s">
        <v>107</v>
      </c>
      <c r="D36" s="2" t="s">
        <v>9</v>
      </c>
      <c r="E36" s="2">
        <v>2025</v>
      </c>
      <c r="F36" s="9">
        <v>172392</v>
      </c>
      <c r="G36" s="9">
        <v>172764</v>
      </c>
      <c r="H36" s="9">
        <v>95854</v>
      </c>
      <c r="I36" s="5">
        <f t="shared" si="0"/>
        <v>556.02348136804494</v>
      </c>
    </row>
    <row r="37" spans="1:9" x14ac:dyDescent="0.2">
      <c r="A37" s="8" t="s">
        <v>27</v>
      </c>
      <c r="B37" t="str">
        <f>_xlfn.XLOOKUP(A37,province_lookup!$A:$A,province_lookup!$B:$B)</f>
        <v>Northeast</v>
      </c>
      <c r="C37" s="2" t="s">
        <v>107</v>
      </c>
      <c r="D37" s="2" t="s">
        <v>9</v>
      </c>
      <c r="E37" s="2">
        <v>2025</v>
      </c>
      <c r="F37" s="9">
        <v>143876</v>
      </c>
      <c r="G37" s="9">
        <v>144471</v>
      </c>
      <c r="H37" s="9">
        <v>90579</v>
      </c>
      <c r="I37" s="5">
        <f t="shared" si="0"/>
        <v>629.56295699074201</v>
      </c>
    </row>
    <row r="38" spans="1:9" x14ac:dyDescent="0.2">
      <c r="A38" s="8" t="s">
        <v>10</v>
      </c>
      <c r="B38" t="str">
        <f>_xlfn.XLOOKUP(A38,province_lookup!$A:$A,province_lookup!$B:$B)</f>
        <v>Northeast</v>
      </c>
      <c r="C38" s="2" t="s">
        <v>107</v>
      </c>
      <c r="D38" s="2" t="s">
        <v>9</v>
      </c>
      <c r="E38" s="2">
        <v>2025</v>
      </c>
      <c r="F38" s="9">
        <v>139061</v>
      </c>
      <c r="G38" s="9">
        <v>140144</v>
      </c>
      <c r="H38" s="9">
        <v>84946</v>
      </c>
      <c r="I38" s="5">
        <f t="shared" si="0"/>
        <v>610.85422943887932</v>
      </c>
    </row>
    <row r="39" spans="1:9" x14ac:dyDescent="0.2">
      <c r="A39" s="8" t="s">
        <v>78</v>
      </c>
      <c r="B39" t="str">
        <f>_xlfn.XLOOKUP(A39,province_lookup!$A:$A,province_lookup!$B:$B)</f>
        <v>Central</v>
      </c>
      <c r="C39" s="2" t="s">
        <v>107</v>
      </c>
      <c r="D39" s="2" t="s">
        <v>9</v>
      </c>
      <c r="E39" s="2">
        <v>2025</v>
      </c>
      <c r="F39" s="9">
        <v>181058</v>
      </c>
      <c r="G39" s="9">
        <v>181411</v>
      </c>
      <c r="H39" s="9">
        <v>120084</v>
      </c>
      <c r="I39" s="5">
        <f t="shared" si="0"/>
        <v>663.23498547426789</v>
      </c>
    </row>
    <row r="40" spans="1:9" x14ac:dyDescent="0.2">
      <c r="A40" s="8" t="s">
        <v>99</v>
      </c>
      <c r="B40" t="str">
        <f>_xlfn.XLOOKUP(A40,province_lookup!$A:$A,province_lookup!$B:$B)</f>
        <v>Central</v>
      </c>
      <c r="C40" s="2" t="s">
        <v>107</v>
      </c>
      <c r="D40" s="2" t="s">
        <v>9</v>
      </c>
      <c r="E40" s="2">
        <v>2025</v>
      </c>
      <c r="F40" s="9">
        <v>352218</v>
      </c>
      <c r="G40" s="9">
        <v>352763</v>
      </c>
      <c r="H40" s="9">
        <v>228810</v>
      </c>
      <c r="I40" s="5">
        <f t="shared" si="0"/>
        <v>649.62608384580005</v>
      </c>
    </row>
    <row r="41" spans="1:9" x14ac:dyDescent="0.2">
      <c r="A41" s="8" t="s">
        <v>80</v>
      </c>
      <c r="B41" t="str">
        <f>_xlfn.XLOOKUP(A41,province_lookup!$A:$A,province_lookup!$B:$B)</f>
        <v>Central</v>
      </c>
      <c r="C41" s="2" t="s">
        <v>107</v>
      </c>
      <c r="D41" s="2" t="s">
        <v>9</v>
      </c>
      <c r="E41" s="2">
        <v>2025</v>
      </c>
      <c r="F41" s="9">
        <v>229676</v>
      </c>
      <c r="G41" s="9">
        <v>229987</v>
      </c>
      <c r="H41" s="9">
        <v>156305</v>
      </c>
      <c r="I41" s="5">
        <f t="shared" si="0"/>
        <v>680.54563820338217</v>
      </c>
    </row>
    <row r="42" spans="1:9" x14ac:dyDescent="0.2">
      <c r="A42" s="8" t="s">
        <v>26</v>
      </c>
      <c r="B42" t="str">
        <f>_xlfn.XLOOKUP(A42,province_lookup!$A:$A,province_lookup!$B:$B)</f>
        <v>Central</v>
      </c>
      <c r="C42" s="2" t="s">
        <v>107</v>
      </c>
      <c r="D42" s="2" t="s">
        <v>9</v>
      </c>
      <c r="E42" s="2">
        <v>2025</v>
      </c>
      <c r="F42" s="9">
        <v>465324</v>
      </c>
      <c r="G42" s="9">
        <v>465969</v>
      </c>
      <c r="H42" s="9">
        <v>308373</v>
      </c>
      <c r="I42" s="5">
        <f t="shared" si="0"/>
        <v>662.70598550687259</v>
      </c>
    </row>
    <row r="43" spans="1:9" x14ac:dyDescent="0.2">
      <c r="A43" s="8" t="s">
        <v>12</v>
      </c>
      <c r="B43" t="str">
        <f>_xlfn.XLOOKUP(A43,province_lookup!$A:$A,province_lookup!$B:$B)</f>
        <v>Central</v>
      </c>
      <c r="C43" s="2" t="s">
        <v>107</v>
      </c>
      <c r="D43" s="2" t="s">
        <v>9</v>
      </c>
      <c r="E43" s="2">
        <v>2025</v>
      </c>
      <c r="F43" s="9">
        <v>906323</v>
      </c>
      <c r="G43" s="9">
        <v>907376</v>
      </c>
      <c r="H43" s="9">
        <v>678758</v>
      </c>
      <c r="I43" s="5">
        <f t="shared" si="0"/>
        <v>748.91401851216403</v>
      </c>
    </row>
    <row r="44" spans="1:9" x14ac:dyDescent="0.2">
      <c r="A44" s="8" t="s">
        <v>21</v>
      </c>
      <c r="B44" t="str">
        <f>_xlfn.XLOOKUP(A44,province_lookup!$A:$A,province_lookup!$B:$B)</f>
        <v>Central</v>
      </c>
      <c r="C44" s="2" t="s">
        <v>107</v>
      </c>
      <c r="D44" s="2" t="s">
        <v>9</v>
      </c>
      <c r="E44" s="2">
        <v>2025</v>
      </c>
      <c r="F44" s="9">
        <v>255597</v>
      </c>
      <c r="G44" s="9">
        <v>255939</v>
      </c>
      <c r="H44" s="9">
        <v>173311</v>
      </c>
      <c r="I44" s="5">
        <f t="shared" si="0"/>
        <v>678.06351404750444</v>
      </c>
    </row>
    <row r="45" spans="1:9" x14ac:dyDescent="0.2">
      <c r="A45" s="8" t="s">
        <v>64</v>
      </c>
      <c r="B45" t="str">
        <f>_xlfn.XLOOKUP(A45,province_lookup!$A:$A,province_lookup!$B:$B)</f>
        <v>Central</v>
      </c>
      <c r="C45" s="2" t="s">
        <v>107</v>
      </c>
      <c r="D45" s="2" t="s">
        <v>9</v>
      </c>
      <c r="E45" s="2">
        <v>2025</v>
      </c>
      <c r="F45" s="9">
        <v>714070</v>
      </c>
      <c r="G45" s="9">
        <v>714922</v>
      </c>
      <c r="H45" s="9">
        <v>539503</v>
      </c>
      <c r="I45" s="5">
        <f t="shared" si="0"/>
        <v>755.5323707759743</v>
      </c>
    </row>
    <row r="46" spans="1:9" x14ac:dyDescent="0.2">
      <c r="A46" s="8" t="s">
        <v>54</v>
      </c>
      <c r="B46" t="str">
        <f>_xlfn.XLOOKUP(A46,province_lookup!$A:$A,province_lookup!$B:$B)</f>
        <v>Central</v>
      </c>
      <c r="C46" s="2" t="s">
        <v>107</v>
      </c>
      <c r="D46" s="2" t="s">
        <v>9</v>
      </c>
      <c r="E46" s="2">
        <v>2025</v>
      </c>
      <c r="F46" s="9">
        <v>75339</v>
      </c>
      <c r="G46" s="9">
        <v>75374</v>
      </c>
      <c r="H46" s="9">
        <v>54938</v>
      </c>
      <c r="I46" s="5">
        <f t="shared" si="0"/>
        <v>729.21063459828247</v>
      </c>
    </row>
    <row r="47" spans="1:9" x14ac:dyDescent="0.2">
      <c r="A47" s="8" t="s">
        <v>96</v>
      </c>
      <c r="B47" t="str">
        <f>_xlfn.XLOOKUP(A47,province_lookup!$A:$A,province_lookup!$B:$B)</f>
        <v>Central</v>
      </c>
      <c r="C47" s="2" t="s">
        <v>107</v>
      </c>
      <c r="D47" s="2" t="s">
        <v>9</v>
      </c>
      <c r="E47" s="2">
        <v>2025</v>
      </c>
      <c r="F47" s="9">
        <v>76399</v>
      </c>
      <c r="G47" s="9">
        <v>76529</v>
      </c>
      <c r="H47" s="9">
        <v>49959</v>
      </c>
      <c r="I47" s="5">
        <f t="shared" si="0"/>
        <v>653.92217175617486</v>
      </c>
    </row>
    <row r="48" spans="1:9" x14ac:dyDescent="0.2">
      <c r="A48" s="8" t="s">
        <v>55</v>
      </c>
      <c r="B48" t="str">
        <f>_xlfn.XLOOKUP(A48,province_lookup!$A:$A,province_lookup!$B:$B)</f>
        <v>Central</v>
      </c>
      <c r="C48" s="2" t="s">
        <v>107</v>
      </c>
      <c r="D48" s="2" t="s">
        <v>9</v>
      </c>
      <c r="E48" s="2">
        <v>2025</v>
      </c>
      <c r="F48" s="9">
        <v>220496</v>
      </c>
      <c r="G48" s="9">
        <v>220764</v>
      </c>
      <c r="H48" s="9">
        <v>158815</v>
      </c>
      <c r="I48" s="5">
        <f t="shared" si="0"/>
        <v>720.26249909295404</v>
      </c>
    </row>
    <row r="49" spans="1:9" x14ac:dyDescent="0.2">
      <c r="A49" s="8" t="s">
        <v>45</v>
      </c>
      <c r="B49" t="str">
        <f>_xlfn.XLOOKUP(A49,province_lookup!$A:$A,province_lookup!$B:$B)</f>
        <v>Central</v>
      </c>
      <c r="C49" s="2" t="s">
        <v>107</v>
      </c>
      <c r="D49" s="2" t="s">
        <v>9</v>
      </c>
      <c r="E49" s="2">
        <v>2025</v>
      </c>
      <c r="F49" s="9">
        <v>162950</v>
      </c>
      <c r="G49" s="9">
        <v>163790</v>
      </c>
      <c r="H49" s="9">
        <v>109874</v>
      </c>
      <c r="I49" s="5">
        <f t="shared" si="0"/>
        <v>674.28045412703284</v>
      </c>
    </row>
    <row r="50" spans="1:9" x14ac:dyDescent="0.2">
      <c r="A50" s="8" t="s">
        <v>102</v>
      </c>
      <c r="B50" t="str">
        <f>_xlfn.XLOOKUP(A50,province_lookup!$A:$A,province_lookup!$B:$B)</f>
        <v>East</v>
      </c>
      <c r="C50" s="2" t="s">
        <v>107</v>
      </c>
      <c r="D50" s="2" t="s">
        <v>9</v>
      </c>
      <c r="E50" s="2">
        <v>2025</v>
      </c>
      <c r="F50" s="9">
        <v>133686</v>
      </c>
      <c r="G50" s="9">
        <v>134285</v>
      </c>
      <c r="H50" s="9">
        <v>86451</v>
      </c>
      <c r="I50" s="5">
        <f t="shared" si="0"/>
        <v>646.6720524213456</v>
      </c>
    </row>
    <row r="51" spans="1:9" x14ac:dyDescent="0.2">
      <c r="A51" s="8" t="s">
        <v>24</v>
      </c>
      <c r="B51" t="str">
        <f>_xlfn.XLOOKUP(A51,province_lookup!$A:$A,province_lookup!$B:$B)</f>
        <v>East</v>
      </c>
      <c r="C51" s="2" t="s">
        <v>107</v>
      </c>
      <c r="D51" s="2" t="s">
        <v>9</v>
      </c>
      <c r="E51" s="2">
        <v>2025</v>
      </c>
      <c r="F51" s="9">
        <v>255083</v>
      </c>
      <c r="G51" s="9">
        <v>256366</v>
      </c>
      <c r="H51" s="9">
        <v>175564</v>
      </c>
      <c r="I51" s="5">
        <f t="shared" si="0"/>
        <v>688.26225189448144</v>
      </c>
    </row>
    <row r="52" spans="1:9" x14ac:dyDescent="0.2">
      <c r="A52" s="8" t="s">
        <v>73</v>
      </c>
      <c r="B52" t="str">
        <f>_xlfn.XLOOKUP(A52,province_lookup!$A:$A,province_lookup!$B:$B)</f>
        <v>East</v>
      </c>
      <c r="C52" s="2" t="s">
        <v>107</v>
      </c>
      <c r="D52" s="2" t="s">
        <v>9</v>
      </c>
      <c r="E52" s="2">
        <v>2025</v>
      </c>
      <c r="F52" s="9">
        <v>11575</v>
      </c>
      <c r="G52" s="9">
        <v>11706</v>
      </c>
      <c r="H52" s="9">
        <v>6734</v>
      </c>
      <c r="I52" s="5">
        <f t="shared" si="0"/>
        <v>581.77105831533481</v>
      </c>
    </row>
    <row r="53" spans="1:9" x14ac:dyDescent="0.2">
      <c r="A53" s="8" t="s">
        <v>88</v>
      </c>
      <c r="B53" t="str">
        <f>_xlfn.XLOOKUP(A53,province_lookup!$A:$A,province_lookup!$B:$B)</f>
        <v>East</v>
      </c>
      <c r="C53" s="2" t="s">
        <v>107</v>
      </c>
      <c r="D53" s="2" t="s">
        <v>9</v>
      </c>
      <c r="E53" s="2">
        <v>2025</v>
      </c>
      <c r="F53" s="9">
        <v>2425</v>
      </c>
      <c r="G53" s="9">
        <v>2466</v>
      </c>
      <c r="H53" s="9">
        <v>1300</v>
      </c>
      <c r="I53" s="5">
        <f t="shared" si="0"/>
        <v>536.08247422680415</v>
      </c>
    </row>
    <row r="54" spans="1:9" x14ac:dyDescent="0.2">
      <c r="A54" s="8" t="s">
        <v>71</v>
      </c>
      <c r="B54" t="str">
        <f>_xlfn.XLOOKUP(A54,province_lookup!$A:$A,province_lookup!$B:$B)</f>
        <v>East</v>
      </c>
      <c r="C54" s="2" t="s">
        <v>107</v>
      </c>
      <c r="D54" s="2" t="s">
        <v>9</v>
      </c>
      <c r="E54" s="2">
        <v>2025</v>
      </c>
      <c r="F54" s="9">
        <v>2592</v>
      </c>
      <c r="G54" s="9">
        <v>2610</v>
      </c>
      <c r="H54" s="9">
        <v>1388</v>
      </c>
      <c r="I54" s="5">
        <f t="shared" si="0"/>
        <v>535.49382716049388</v>
      </c>
    </row>
    <row r="55" spans="1:9" x14ac:dyDescent="0.2">
      <c r="A55" s="8" t="s">
        <v>98</v>
      </c>
      <c r="B55" t="str">
        <f>_xlfn.XLOOKUP(A55,province_lookup!$A:$A,province_lookup!$B:$B)</f>
        <v>East</v>
      </c>
      <c r="C55" s="2" t="s">
        <v>107</v>
      </c>
      <c r="D55" s="2" t="s">
        <v>9</v>
      </c>
      <c r="E55" s="2">
        <v>2025</v>
      </c>
      <c r="F55" s="9">
        <v>32484</v>
      </c>
      <c r="G55" s="9">
        <v>32609</v>
      </c>
      <c r="H55" s="9">
        <v>21212</v>
      </c>
      <c r="I55" s="5">
        <f t="shared" si="0"/>
        <v>652.99839921191972</v>
      </c>
    </row>
    <row r="56" spans="1:9" x14ac:dyDescent="0.2">
      <c r="A56" s="8" t="s">
        <v>75</v>
      </c>
      <c r="B56" t="str">
        <f>_xlfn.XLOOKUP(A56,province_lookup!$A:$A,province_lookup!$B:$B)</f>
        <v>Central</v>
      </c>
      <c r="C56" s="2" t="s">
        <v>107</v>
      </c>
      <c r="D56" s="2" t="s">
        <v>9</v>
      </c>
      <c r="E56" s="2">
        <v>2025</v>
      </c>
      <c r="F56" s="9">
        <v>14661</v>
      </c>
      <c r="G56" s="9">
        <v>14753</v>
      </c>
      <c r="H56" s="9">
        <v>10481</v>
      </c>
      <c r="I56" s="5">
        <f t="shared" si="0"/>
        <v>714.88984380328759</v>
      </c>
    </row>
    <row r="57" spans="1:9" x14ac:dyDescent="0.2">
      <c r="A57" s="8" t="s">
        <v>76</v>
      </c>
      <c r="B57" t="str">
        <f>_xlfn.XLOOKUP(A57,province_lookup!$A:$A,province_lookup!$B:$B)</f>
        <v>Central</v>
      </c>
      <c r="C57" s="2" t="s">
        <v>107</v>
      </c>
      <c r="D57" s="2" t="s">
        <v>9</v>
      </c>
      <c r="E57" s="2">
        <v>2025</v>
      </c>
      <c r="F57" s="9">
        <v>2935</v>
      </c>
      <c r="G57" s="9">
        <v>2940</v>
      </c>
      <c r="H57" s="9">
        <v>2010</v>
      </c>
      <c r="I57" s="5">
        <f t="shared" si="0"/>
        <v>684.83816013628621</v>
      </c>
    </row>
    <row r="58" spans="1:9" x14ac:dyDescent="0.2">
      <c r="A58" s="8" t="s">
        <v>46</v>
      </c>
      <c r="B58" t="str">
        <f>_xlfn.XLOOKUP(A58,province_lookup!$A:$A,province_lookup!$B:$B)</f>
        <v>Central</v>
      </c>
      <c r="C58" s="2" t="s">
        <v>107</v>
      </c>
      <c r="D58" s="2" t="s">
        <v>9</v>
      </c>
      <c r="E58" s="2">
        <v>2025</v>
      </c>
      <c r="F58" s="9">
        <v>236874</v>
      </c>
      <c r="G58" s="9">
        <v>237153</v>
      </c>
      <c r="H58" s="9">
        <v>183772</v>
      </c>
      <c r="I58" s="5">
        <f t="shared" si="0"/>
        <v>775.82174489390979</v>
      </c>
    </row>
    <row r="59" spans="1:9" x14ac:dyDescent="0.2">
      <c r="A59" s="8" t="s">
        <v>35</v>
      </c>
      <c r="B59" t="str">
        <f>_xlfn.XLOOKUP(A59,province_lookup!$A:$A,province_lookup!$B:$B)</f>
        <v>West</v>
      </c>
      <c r="C59" s="2" t="s">
        <v>107</v>
      </c>
      <c r="D59" s="2" t="s">
        <v>9</v>
      </c>
      <c r="E59" s="2">
        <v>2025</v>
      </c>
      <c r="F59" s="9">
        <v>180918</v>
      </c>
      <c r="G59" s="9">
        <v>181185</v>
      </c>
      <c r="H59" s="9">
        <v>128833</v>
      </c>
      <c r="I59" s="5">
        <f t="shared" si="0"/>
        <v>712.10714246233101</v>
      </c>
    </row>
    <row r="60" spans="1:9" x14ac:dyDescent="0.2">
      <c r="A60" s="8" t="s">
        <v>70</v>
      </c>
      <c r="B60" t="str">
        <f>_xlfn.XLOOKUP(A60,province_lookup!$A:$A,province_lookup!$B:$B)</f>
        <v>West</v>
      </c>
      <c r="C60" s="2" t="s">
        <v>107</v>
      </c>
      <c r="D60" s="2" t="s">
        <v>9</v>
      </c>
      <c r="E60" s="2">
        <v>2025</v>
      </c>
      <c r="F60" s="9">
        <v>148628</v>
      </c>
      <c r="G60" s="9">
        <v>148829</v>
      </c>
      <c r="H60" s="9">
        <v>105246</v>
      </c>
      <c r="I60" s="5">
        <f t="shared" si="0"/>
        <v>708.11690933067791</v>
      </c>
    </row>
    <row r="61" spans="1:9" x14ac:dyDescent="0.2">
      <c r="A61" s="8" t="s">
        <v>77</v>
      </c>
      <c r="B61" t="str">
        <f>_xlfn.XLOOKUP(A61,province_lookup!$A:$A,province_lookup!$B:$B)</f>
        <v>Central</v>
      </c>
      <c r="C61" s="2" t="s">
        <v>107</v>
      </c>
      <c r="D61" s="2" t="s">
        <v>9</v>
      </c>
      <c r="E61" s="2">
        <v>2025</v>
      </c>
      <c r="F61" s="9">
        <v>1633</v>
      </c>
      <c r="G61" s="9">
        <v>1638</v>
      </c>
      <c r="H61" s="9">
        <v>1145</v>
      </c>
      <c r="I61" s="5">
        <f t="shared" si="0"/>
        <v>701.16350275566447</v>
      </c>
    </row>
    <row r="62" spans="1:9" x14ac:dyDescent="0.2">
      <c r="A62" s="8" t="s">
        <v>61</v>
      </c>
      <c r="B62" t="str">
        <f>_xlfn.XLOOKUP(A62,province_lookup!$A:$A,province_lookup!$B:$B)</f>
        <v>West</v>
      </c>
      <c r="C62" s="2" t="s">
        <v>107</v>
      </c>
      <c r="D62" s="2" t="s">
        <v>9</v>
      </c>
      <c r="E62" s="2">
        <v>2025</v>
      </c>
      <c r="F62" s="9">
        <v>174335</v>
      </c>
      <c r="G62" s="9">
        <v>174527</v>
      </c>
      <c r="H62" s="9">
        <v>124524</v>
      </c>
      <c r="I62" s="5">
        <f t="shared" si="0"/>
        <v>714.27997820288522</v>
      </c>
    </row>
    <row r="63" spans="1:9" x14ac:dyDescent="0.2">
      <c r="A63" s="8" t="s">
        <v>68</v>
      </c>
      <c r="B63" t="str">
        <f>_xlfn.XLOOKUP(A63,province_lookup!$A:$A,province_lookup!$B:$B)</f>
        <v>West</v>
      </c>
      <c r="C63" s="2" t="s">
        <v>107</v>
      </c>
      <c r="D63" s="2" t="s">
        <v>9</v>
      </c>
      <c r="E63" s="2">
        <v>2025</v>
      </c>
      <c r="F63" s="9">
        <v>4442</v>
      </c>
      <c r="G63" s="9">
        <v>4534</v>
      </c>
      <c r="H63" s="9">
        <v>2624</v>
      </c>
      <c r="I63" s="5">
        <f t="shared" si="0"/>
        <v>590.72489869428182</v>
      </c>
    </row>
    <row r="64" spans="1:9" x14ac:dyDescent="0.2">
      <c r="A64" s="8" t="s">
        <v>31</v>
      </c>
      <c r="B64" t="str">
        <f>_xlfn.XLOOKUP(A64,province_lookup!$A:$A,province_lookup!$B:$B)</f>
        <v>South</v>
      </c>
      <c r="C64" s="2" t="s">
        <v>107</v>
      </c>
      <c r="D64" s="2" t="s">
        <v>9</v>
      </c>
      <c r="E64" s="2">
        <v>2025</v>
      </c>
      <c r="F64" s="9">
        <v>552</v>
      </c>
      <c r="G64" s="9">
        <v>552</v>
      </c>
      <c r="H64" s="9">
        <v>251</v>
      </c>
      <c r="I64" s="5">
        <f t="shared" si="0"/>
        <v>454.71014492753625</v>
      </c>
    </row>
    <row r="65" spans="1:9" x14ac:dyDescent="0.2">
      <c r="A65" s="8" t="s">
        <v>84</v>
      </c>
      <c r="B65" t="str">
        <f>_xlfn.XLOOKUP(A65,province_lookup!$A:$A,province_lookup!$B:$B)</f>
        <v>South</v>
      </c>
      <c r="C65" s="2" t="s">
        <v>107</v>
      </c>
      <c r="D65" s="2" t="s">
        <v>9</v>
      </c>
      <c r="E65" s="2">
        <v>2025</v>
      </c>
      <c r="F65" s="9">
        <v>1315</v>
      </c>
      <c r="G65" s="9">
        <v>1315</v>
      </c>
      <c r="H65" s="9">
        <v>599</v>
      </c>
      <c r="I65" s="5">
        <f t="shared" si="0"/>
        <v>455.51330798479086</v>
      </c>
    </row>
    <row r="66" spans="1:9" x14ac:dyDescent="0.2">
      <c r="A66" s="8" t="s">
        <v>38</v>
      </c>
      <c r="B66" t="str">
        <f>_xlfn.XLOOKUP(A66,province_lookup!$A:$A,province_lookup!$B:$B)</f>
        <v>South</v>
      </c>
      <c r="C66" s="2" t="s">
        <v>107</v>
      </c>
      <c r="D66" s="2" t="s">
        <v>9</v>
      </c>
      <c r="E66" s="2">
        <v>2025</v>
      </c>
      <c r="F66" s="9">
        <v>74</v>
      </c>
      <c r="G66" s="9">
        <v>74</v>
      </c>
      <c r="H66" s="9">
        <v>34</v>
      </c>
      <c r="I66" s="5">
        <f t="shared" si="0"/>
        <v>459.45945945945948</v>
      </c>
    </row>
    <row r="67" spans="1:9" x14ac:dyDescent="0.2">
      <c r="A67" s="8" t="s">
        <v>87</v>
      </c>
      <c r="B67" t="str">
        <f>_xlfn.XLOOKUP(A67,province_lookup!$A:$A,province_lookup!$B:$B)</f>
        <v>South</v>
      </c>
      <c r="C67" s="2" t="s">
        <v>107</v>
      </c>
      <c r="D67" s="2" t="s">
        <v>9</v>
      </c>
      <c r="E67" s="2">
        <v>2025</v>
      </c>
      <c r="F67" s="9">
        <v>87</v>
      </c>
      <c r="G67" s="9">
        <v>87</v>
      </c>
      <c r="H67" s="9">
        <v>32</v>
      </c>
      <c r="I67" s="5">
        <f t="shared" ref="I67:I130" si="1">(H67*1000)/F67</f>
        <v>367.81609195402297</v>
      </c>
    </row>
    <row r="68" spans="1:9" x14ac:dyDescent="0.2">
      <c r="A68" s="8" t="s">
        <v>49</v>
      </c>
      <c r="B68" t="str">
        <f>_xlfn.XLOOKUP(A68,province_lookup!$A:$A,province_lookup!$B:$B)</f>
        <v>South</v>
      </c>
      <c r="C68" s="2" t="s">
        <v>107</v>
      </c>
      <c r="D68" s="2" t="s">
        <v>9</v>
      </c>
      <c r="E68" s="2">
        <v>2025</v>
      </c>
      <c r="F68" s="9">
        <v>6251</v>
      </c>
      <c r="G68" s="9">
        <v>6251</v>
      </c>
      <c r="H68" s="9">
        <v>2921</v>
      </c>
      <c r="I68" s="5">
        <f t="shared" si="1"/>
        <v>467.28523436250202</v>
      </c>
    </row>
    <row r="69" spans="1:9" x14ac:dyDescent="0.2">
      <c r="A69" s="8" t="s">
        <v>58</v>
      </c>
      <c r="B69" t="str">
        <f>_xlfn.XLOOKUP(A69,province_lookup!$A:$A,province_lookup!$B:$B)</f>
        <v>South</v>
      </c>
      <c r="C69" s="2" t="s">
        <v>107</v>
      </c>
      <c r="D69" s="2" t="s">
        <v>9</v>
      </c>
      <c r="E69" s="2">
        <v>2025</v>
      </c>
      <c r="F69" s="9">
        <v>29915</v>
      </c>
      <c r="G69" s="9">
        <v>29915</v>
      </c>
      <c r="H69" s="9">
        <v>16090</v>
      </c>
      <c r="I69" s="5">
        <f t="shared" si="1"/>
        <v>537.85726224302186</v>
      </c>
    </row>
    <row r="70" spans="1:9" x14ac:dyDescent="0.2">
      <c r="A70" s="8" t="s">
        <v>82</v>
      </c>
      <c r="B70" t="str">
        <f>_xlfn.XLOOKUP(A70,province_lookup!$A:$A,province_lookup!$B:$B)</f>
        <v>South</v>
      </c>
      <c r="C70" s="2" t="s">
        <v>107</v>
      </c>
      <c r="D70" s="2" t="s">
        <v>9</v>
      </c>
      <c r="E70" s="2">
        <v>2025</v>
      </c>
      <c r="F70" s="9">
        <v>38768</v>
      </c>
      <c r="G70" s="9">
        <v>38768</v>
      </c>
      <c r="H70" s="9">
        <v>20119</v>
      </c>
      <c r="I70" s="5">
        <f t="shared" si="1"/>
        <v>518.95893520429217</v>
      </c>
    </row>
    <row r="71" spans="1:9" x14ac:dyDescent="0.2">
      <c r="A71" s="8" t="s">
        <v>79</v>
      </c>
      <c r="B71" t="str">
        <f>_xlfn.XLOOKUP(A71,province_lookup!$A:$A,province_lookup!$B:$B)</f>
        <v>South</v>
      </c>
      <c r="C71" s="2" t="s">
        <v>107</v>
      </c>
      <c r="D71" s="2" t="s">
        <v>9</v>
      </c>
      <c r="E71" s="2">
        <v>2025</v>
      </c>
      <c r="F71" s="9">
        <v>46</v>
      </c>
      <c r="G71" s="9">
        <v>46</v>
      </c>
      <c r="H71" s="9">
        <v>23</v>
      </c>
      <c r="I71" s="5">
        <f t="shared" si="1"/>
        <v>500</v>
      </c>
    </row>
    <row r="72" spans="1:9" x14ac:dyDescent="0.2">
      <c r="A72" s="8" t="s">
        <v>56</v>
      </c>
      <c r="B72" t="str">
        <f>_xlfn.XLOOKUP(A72,province_lookup!$A:$A,province_lookup!$B:$B)</f>
        <v>South</v>
      </c>
      <c r="C72" s="2" t="s">
        <v>107</v>
      </c>
      <c r="D72" s="2" t="s">
        <v>9</v>
      </c>
      <c r="E72" s="2">
        <v>2025</v>
      </c>
      <c r="F72" s="9">
        <v>16680</v>
      </c>
      <c r="G72" s="9">
        <v>16680</v>
      </c>
      <c r="H72" s="9">
        <v>9018</v>
      </c>
      <c r="I72" s="5">
        <f t="shared" si="1"/>
        <v>540.64748201438852</v>
      </c>
    </row>
    <row r="73" spans="1:9" x14ac:dyDescent="0.2">
      <c r="A73" s="8" t="s">
        <v>93</v>
      </c>
      <c r="B73" t="str">
        <f>_xlfn.XLOOKUP(A73,province_lookup!$A:$A,province_lookup!$B:$B)</f>
        <v>South</v>
      </c>
      <c r="C73" s="2" t="s">
        <v>107</v>
      </c>
      <c r="D73" s="2" t="s">
        <v>9</v>
      </c>
      <c r="E73" s="2">
        <v>2025</v>
      </c>
      <c r="F73" s="9">
        <v>80</v>
      </c>
      <c r="G73" s="9">
        <v>80</v>
      </c>
      <c r="H73" s="9">
        <v>48</v>
      </c>
      <c r="I73" s="5">
        <f t="shared" si="1"/>
        <v>600</v>
      </c>
    </row>
    <row r="74" spans="1:9" x14ac:dyDescent="0.2">
      <c r="A74" s="8" t="s">
        <v>51</v>
      </c>
      <c r="B74" t="str">
        <f>_xlfn.XLOOKUP(A74,province_lookup!$A:$A,province_lookup!$B:$B)</f>
        <v>South</v>
      </c>
      <c r="C74" s="2" t="s">
        <v>107</v>
      </c>
      <c r="D74" s="2" t="s">
        <v>9</v>
      </c>
      <c r="E74" s="2">
        <v>2025</v>
      </c>
      <c r="F74" s="9">
        <v>135</v>
      </c>
      <c r="G74" s="9">
        <v>135</v>
      </c>
      <c r="H74" s="9">
        <v>51</v>
      </c>
      <c r="I74" s="5">
        <f t="shared" si="1"/>
        <v>377.77777777777777</v>
      </c>
    </row>
    <row r="75" spans="1:9" x14ac:dyDescent="0.2">
      <c r="A75" s="8" t="s">
        <v>29</v>
      </c>
      <c r="B75" t="str">
        <f>_xlfn.XLOOKUP(A75,province_lookup!$A:$A,province_lookup!$B:$B)</f>
        <v>North</v>
      </c>
      <c r="C75" s="2" t="s">
        <v>108</v>
      </c>
      <c r="D75" s="2" t="s">
        <v>9</v>
      </c>
      <c r="E75" s="2">
        <v>2025</v>
      </c>
      <c r="F75" s="9">
        <v>1261465</v>
      </c>
      <c r="G75" s="9">
        <v>1109790</v>
      </c>
      <c r="H75" s="9">
        <v>600231</v>
      </c>
      <c r="I75" s="5">
        <f t="shared" si="1"/>
        <v>475.82057369804158</v>
      </c>
    </row>
    <row r="76" spans="1:9" x14ac:dyDescent="0.2">
      <c r="A76" s="8" t="s">
        <v>59</v>
      </c>
      <c r="B76" t="str">
        <f>_xlfn.XLOOKUP(A76,province_lookup!$A:$A,province_lookup!$B:$B)</f>
        <v>North</v>
      </c>
      <c r="C76" s="2" t="s">
        <v>108</v>
      </c>
      <c r="D76" s="2" t="s">
        <v>9</v>
      </c>
      <c r="E76" s="2">
        <v>2025</v>
      </c>
      <c r="F76" s="9">
        <v>622244</v>
      </c>
      <c r="G76" s="9">
        <v>559308</v>
      </c>
      <c r="H76" s="9">
        <v>270028</v>
      </c>
      <c r="I76" s="5">
        <f t="shared" si="1"/>
        <v>433.95838288517047</v>
      </c>
    </row>
    <row r="77" spans="1:9" x14ac:dyDescent="0.2">
      <c r="A77" s="8" t="s">
        <v>104</v>
      </c>
      <c r="B77" t="str">
        <f>_xlfn.XLOOKUP(A77,province_lookup!$A:$A,province_lookup!$B:$B)</f>
        <v>North</v>
      </c>
      <c r="C77" s="2" t="s">
        <v>108</v>
      </c>
      <c r="D77" s="2" t="s">
        <v>9</v>
      </c>
      <c r="E77" s="2">
        <v>2025</v>
      </c>
      <c r="F77" s="9">
        <v>436118</v>
      </c>
      <c r="G77" s="9">
        <v>425641</v>
      </c>
      <c r="H77" s="9">
        <v>218227</v>
      </c>
      <c r="I77" s="5">
        <f t="shared" si="1"/>
        <v>500.38521684498232</v>
      </c>
    </row>
    <row r="78" spans="1:9" x14ac:dyDescent="0.2">
      <c r="A78" s="8" t="s">
        <v>39</v>
      </c>
      <c r="B78" t="str">
        <f>_xlfn.XLOOKUP(A78,province_lookup!$A:$A,province_lookup!$B:$B)</f>
        <v>North</v>
      </c>
      <c r="C78" s="2" t="s">
        <v>108</v>
      </c>
      <c r="D78" s="2" t="s">
        <v>9</v>
      </c>
      <c r="E78" s="2">
        <v>2025</v>
      </c>
      <c r="F78" s="9">
        <v>95487</v>
      </c>
      <c r="G78" s="9">
        <v>94396</v>
      </c>
      <c r="H78" s="9">
        <v>55956</v>
      </c>
      <c r="I78" s="5">
        <f t="shared" si="1"/>
        <v>586.00647208520536</v>
      </c>
    </row>
    <row r="79" spans="1:9" x14ac:dyDescent="0.2">
      <c r="A79" s="8" t="s">
        <v>7</v>
      </c>
      <c r="B79" t="str">
        <f>_xlfn.XLOOKUP(A79,province_lookup!$A:$A,province_lookup!$B:$B)</f>
        <v>North</v>
      </c>
      <c r="C79" s="2" t="s">
        <v>108</v>
      </c>
      <c r="D79" s="2" t="s">
        <v>9</v>
      </c>
      <c r="E79" s="2">
        <v>2025</v>
      </c>
      <c r="F79" s="9">
        <v>532422</v>
      </c>
      <c r="G79" s="9">
        <v>524339</v>
      </c>
      <c r="H79" s="9">
        <v>290239</v>
      </c>
      <c r="I79" s="5">
        <f t="shared" si="1"/>
        <v>545.12961523002434</v>
      </c>
    </row>
    <row r="80" spans="1:9" x14ac:dyDescent="0.2">
      <c r="A80" s="8" t="s">
        <v>42</v>
      </c>
      <c r="B80" t="str">
        <f>_xlfn.XLOOKUP(A80,province_lookup!$A:$A,province_lookup!$B:$B)</f>
        <v>North</v>
      </c>
      <c r="C80" s="2" t="s">
        <v>108</v>
      </c>
      <c r="D80" s="2" t="s">
        <v>9</v>
      </c>
      <c r="E80" s="2">
        <v>2025</v>
      </c>
      <c r="F80" s="9">
        <v>203437</v>
      </c>
      <c r="G80" s="9">
        <v>214839</v>
      </c>
      <c r="H80" s="9">
        <v>78771</v>
      </c>
      <c r="I80" s="5">
        <f t="shared" si="1"/>
        <v>387.2009516459641</v>
      </c>
    </row>
    <row r="81" spans="1:9" x14ac:dyDescent="0.2">
      <c r="A81" s="8" t="s">
        <v>86</v>
      </c>
      <c r="B81" t="str">
        <f>_xlfn.XLOOKUP(A81,province_lookup!$A:$A,province_lookup!$B:$B)</f>
        <v>North</v>
      </c>
      <c r="C81" s="2" t="s">
        <v>108</v>
      </c>
      <c r="D81" s="2" t="s">
        <v>9</v>
      </c>
      <c r="E81" s="2">
        <v>2025</v>
      </c>
      <c r="F81" s="9">
        <v>363308</v>
      </c>
      <c r="G81" s="9">
        <v>345571</v>
      </c>
      <c r="H81" s="9">
        <v>134956</v>
      </c>
      <c r="I81" s="5">
        <f t="shared" si="1"/>
        <v>371.46443238244132</v>
      </c>
    </row>
    <row r="82" spans="1:9" x14ac:dyDescent="0.2">
      <c r="A82" s="8" t="s">
        <v>34</v>
      </c>
      <c r="B82" t="str">
        <f>_xlfn.XLOOKUP(A82,province_lookup!$A:$A,province_lookup!$B:$B)</f>
        <v>North</v>
      </c>
      <c r="C82" s="2" t="s">
        <v>108</v>
      </c>
      <c r="D82" s="2" t="s">
        <v>9</v>
      </c>
      <c r="E82" s="2">
        <v>2025</v>
      </c>
      <c r="F82" s="9">
        <v>1267257</v>
      </c>
      <c r="G82" s="9">
        <v>1264469</v>
      </c>
      <c r="H82" s="9">
        <v>773559</v>
      </c>
      <c r="I82" s="5">
        <f t="shared" si="1"/>
        <v>610.4199858434398</v>
      </c>
    </row>
    <row r="83" spans="1:9" x14ac:dyDescent="0.2">
      <c r="A83" s="8" t="s">
        <v>83</v>
      </c>
      <c r="B83" t="str">
        <f>_xlfn.XLOOKUP(A83,province_lookup!$A:$A,province_lookup!$B:$B)</f>
        <v>North</v>
      </c>
      <c r="C83" s="2" t="s">
        <v>108</v>
      </c>
      <c r="D83" s="2" t="s">
        <v>9</v>
      </c>
      <c r="E83" s="2">
        <v>2025</v>
      </c>
      <c r="F83" s="9">
        <v>1188025</v>
      </c>
      <c r="G83" s="9">
        <v>1146963</v>
      </c>
      <c r="H83" s="9">
        <v>644321</v>
      </c>
      <c r="I83" s="5">
        <f t="shared" si="1"/>
        <v>542.3463310957261</v>
      </c>
    </row>
    <row r="84" spans="1:9" x14ac:dyDescent="0.2">
      <c r="A84" s="8" t="s">
        <v>65</v>
      </c>
      <c r="B84" t="str">
        <f>_xlfn.XLOOKUP(A84,province_lookup!$A:$A,province_lookup!$B:$B)</f>
        <v>North</v>
      </c>
      <c r="C84" s="2" t="s">
        <v>108</v>
      </c>
      <c r="D84" s="2" t="s">
        <v>9</v>
      </c>
      <c r="E84" s="2">
        <v>2025</v>
      </c>
      <c r="F84" s="9">
        <v>285101</v>
      </c>
      <c r="G84" s="9">
        <v>280284</v>
      </c>
      <c r="H84" s="9">
        <v>164772</v>
      </c>
      <c r="I84" s="5">
        <f t="shared" si="1"/>
        <v>577.9425536914988</v>
      </c>
    </row>
    <row r="85" spans="1:9" x14ac:dyDescent="0.2">
      <c r="A85" s="8" t="s">
        <v>50</v>
      </c>
      <c r="B85" t="str">
        <f>_xlfn.XLOOKUP(A85,province_lookup!$A:$A,province_lookup!$B:$B)</f>
        <v>North</v>
      </c>
      <c r="C85" s="2" t="s">
        <v>108</v>
      </c>
      <c r="D85" s="2" t="s">
        <v>9</v>
      </c>
      <c r="E85" s="2">
        <v>2025</v>
      </c>
      <c r="F85" s="9">
        <v>333501</v>
      </c>
      <c r="G85" s="9">
        <v>329007</v>
      </c>
      <c r="H85" s="9">
        <v>164965</v>
      </c>
      <c r="I85" s="5">
        <f t="shared" si="1"/>
        <v>494.64619296493862</v>
      </c>
    </row>
    <row r="86" spans="1:9" x14ac:dyDescent="0.2">
      <c r="A86" s="8" t="s">
        <v>92</v>
      </c>
      <c r="B86" t="str">
        <f>_xlfn.XLOOKUP(A86,province_lookup!$A:$A,province_lookup!$B:$B)</f>
        <v>North</v>
      </c>
      <c r="C86" s="2" t="s">
        <v>108</v>
      </c>
      <c r="D86" s="2" t="s">
        <v>9</v>
      </c>
      <c r="E86" s="2">
        <v>2025</v>
      </c>
      <c r="F86" s="9">
        <v>626166</v>
      </c>
      <c r="G86" s="9">
        <v>618165</v>
      </c>
      <c r="H86" s="9">
        <v>363903</v>
      </c>
      <c r="I86" s="5">
        <f t="shared" si="1"/>
        <v>581.16058680924868</v>
      </c>
    </row>
    <row r="87" spans="1:9" x14ac:dyDescent="0.2">
      <c r="A87" s="8" t="s">
        <v>63</v>
      </c>
      <c r="B87" t="str">
        <f>_xlfn.XLOOKUP(A87,province_lookup!$A:$A,province_lookup!$B:$B)</f>
        <v>North</v>
      </c>
      <c r="C87" s="2" t="s">
        <v>108</v>
      </c>
      <c r="D87" s="2" t="s">
        <v>9</v>
      </c>
      <c r="E87" s="2">
        <v>2025</v>
      </c>
      <c r="F87" s="9">
        <v>1440700</v>
      </c>
      <c r="G87" s="9">
        <v>1422667</v>
      </c>
      <c r="H87" s="9">
        <v>824256</v>
      </c>
      <c r="I87" s="5">
        <f t="shared" si="1"/>
        <v>572.12188519469703</v>
      </c>
    </row>
    <row r="88" spans="1:9" x14ac:dyDescent="0.2">
      <c r="A88" s="8" t="s">
        <v>62</v>
      </c>
      <c r="B88" t="str">
        <f>_xlfn.XLOOKUP(A88,province_lookup!$A:$A,province_lookup!$B:$B)</f>
        <v>Central</v>
      </c>
      <c r="C88" s="2" t="s">
        <v>108</v>
      </c>
      <c r="D88" s="2" t="s">
        <v>9</v>
      </c>
      <c r="E88" s="2">
        <v>2025</v>
      </c>
      <c r="F88" s="9">
        <v>1812374</v>
      </c>
      <c r="G88" s="9">
        <v>1791856</v>
      </c>
      <c r="H88" s="9">
        <v>1084548</v>
      </c>
      <c r="I88" s="5">
        <f t="shared" si="1"/>
        <v>598.41291035956158</v>
      </c>
    </row>
    <row r="89" spans="1:9" x14ac:dyDescent="0.2">
      <c r="A89" s="8" t="s">
        <v>48</v>
      </c>
      <c r="B89" t="str">
        <f>_xlfn.XLOOKUP(A89,province_lookup!$A:$A,province_lookup!$B:$B)</f>
        <v>Central</v>
      </c>
      <c r="C89" s="2" t="s">
        <v>108</v>
      </c>
      <c r="D89" s="2" t="s">
        <v>9</v>
      </c>
      <c r="E89" s="2">
        <v>2025</v>
      </c>
      <c r="F89" s="9">
        <v>2458578</v>
      </c>
      <c r="G89" s="9">
        <v>2448566</v>
      </c>
      <c r="H89" s="9">
        <v>1427613</v>
      </c>
      <c r="I89" s="5">
        <f t="shared" si="1"/>
        <v>580.66614115964592</v>
      </c>
    </row>
    <row r="90" spans="1:9" x14ac:dyDescent="0.2">
      <c r="A90" s="8" t="s">
        <v>91</v>
      </c>
      <c r="B90" t="str">
        <f>_xlfn.XLOOKUP(A90,province_lookup!$A:$A,province_lookup!$B:$B)</f>
        <v>Central</v>
      </c>
      <c r="C90" s="2" t="s">
        <v>108</v>
      </c>
      <c r="D90" s="2" t="s">
        <v>9</v>
      </c>
      <c r="E90" s="2">
        <v>2025</v>
      </c>
      <c r="F90" s="9">
        <v>559223</v>
      </c>
      <c r="G90" s="9">
        <v>556702</v>
      </c>
      <c r="H90" s="9">
        <v>356585</v>
      </c>
      <c r="I90" s="5">
        <f t="shared" si="1"/>
        <v>637.64365914849714</v>
      </c>
    </row>
    <row r="91" spans="1:9" x14ac:dyDescent="0.2">
      <c r="A91" s="8" t="s">
        <v>60</v>
      </c>
      <c r="B91" t="str">
        <f>_xlfn.XLOOKUP(A91,province_lookup!$A:$A,province_lookup!$B:$B)</f>
        <v>Central</v>
      </c>
      <c r="C91" s="2" t="s">
        <v>108</v>
      </c>
      <c r="D91" s="2" t="s">
        <v>9</v>
      </c>
      <c r="E91" s="2">
        <v>2025</v>
      </c>
      <c r="F91" s="9">
        <v>1176916</v>
      </c>
      <c r="G91" s="9">
        <v>1165739</v>
      </c>
      <c r="H91" s="9">
        <v>653839</v>
      </c>
      <c r="I91" s="5">
        <f t="shared" si="1"/>
        <v>555.55281770321756</v>
      </c>
    </row>
    <row r="92" spans="1:9" x14ac:dyDescent="0.2">
      <c r="A92" s="8" t="s">
        <v>40</v>
      </c>
      <c r="B92" t="str">
        <f>_xlfn.XLOOKUP(A92,province_lookup!$A:$A,province_lookup!$B:$B)</f>
        <v>Northeast</v>
      </c>
      <c r="C92" s="2" t="s">
        <v>108</v>
      </c>
      <c r="D92" s="2" t="s">
        <v>9</v>
      </c>
      <c r="E92" s="2">
        <v>2025</v>
      </c>
      <c r="F92" s="9">
        <v>383146</v>
      </c>
      <c r="G92" s="9">
        <v>381299</v>
      </c>
      <c r="H92" s="9">
        <v>136537</v>
      </c>
      <c r="I92" s="5">
        <f t="shared" si="1"/>
        <v>356.35762868462677</v>
      </c>
    </row>
    <row r="93" spans="1:9" x14ac:dyDescent="0.2">
      <c r="A93" s="8" t="s">
        <v>100</v>
      </c>
      <c r="B93" t="str">
        <f>_xlfn.XLOOKUP(A93,province_lookup!$A:$A,province_lookup!$B:$B)</f>
        <v>Northeast</v>
      </c>
      <c r="C93" s="2" t="s">
        <v>108</v>
      </c>
      <c r="D93" s="2" t="s">
        <v>9</v>
      </c>
      <c r="E93" s="2">
        <v>2025</v>
      </c>
      <c r="F93" s="9">
        <v>683895</v>
      </c>
      <c r="G93" s="9">
        <v>668907</v>
      </c>
      <c r="H93" s="9">
        <v>249340</v>
      </c>
      <c r="I93" s="5">
        <f t="shared" si="1"/>
        <v>364.58813121897367</v>
      </c>
    </row>
    <row r="94" spans="1:9" x14ac:dyDescent="0.2">
      <c r="A94" s="8" t="s">
        <v>90</v>
      </c>
      <c r="B94" t="str">
        <f>_xlfn.XLOOKUP(A94,province_lookup!$A:$A,province_lookup!$B:$B)</f>
        <v>Northeast</v>
      </c>
      <c r="C94" s="2" t="s">
        <v>108</v>
      </c>
      <c r="D94" s="2" t="s">
        <v>9</v>
      </c>
      <c r="E94" s="2">
        <v>2025</v>
      </c>
      <c r="F94" s="9">
        <v>1945310</v>
      </c>
      <c r="G94" s="9">
        <v>1868143</v>
      </c>
      <c r="H94" s="9">
        <v>682875</v>
      </c>
      <c r="I94" s="5">
        <f t="shared" si="1"/>
        <v>351.03659570968125</v>
      </c>
    </row>
    <row r="95" spans="1:9" x14ac:dyDescent="0.2">
      <c r="A95" s="8" t="s">
        <v>53</v>
      </c>
      <c r="B95" t="str">
        <f>_xlfn.XLOOKUP(A95,province_lookup!$A:$A,province_lookup!$B:$B)</f>
        <v>Northeast</v>
      </c>
      <c r="C95" s="2" t="s">
        <v>108</v>
      </c>
      <c r="D95" s="2" t="s">
        <v>9</v>
      </c>
      <c r="E95" s="2">
        <v>2025</v>
      </c>
      <c r="F95" s="9">
        <v>574742</v>
      </c>
      <c r="G95" s="9">
        <v>475869</v>
      </c>
      <c r="H95" s="9">
        <v>175613</v>
      </c>
      <c r="I95" s="5">
        <f t="shared" si="1"/>
        <v>305.55101245428381</v>
      </c>
    </row>
    <row r="96" spans="1:9" x14ac:dyDescent="0.2">
      <c r="A96" s="8" t="s">
        <v>22</v>
      </c>
      <c r="B96" t="str">
        <f>_xlfn.XLOOKUP(A96,province_lookup!$A:$A,province_lookup!$B:$B)</f>
        <v>Northeast</v>
      </c>
      <c r="C96" s="2" t="s">
        <v>108</v>
      </c>
      <c r="D96" s="2" t="s">
        <v>9</v>
      </c>
      <c r="E96" s="2">
        <v>2025</v>
      </c>
      <c r="F96" s="9">
        <v>467724</v>
      </c>
      <c r="G96" s="9">
        <v>421307</v>
      </c>
      <c r="H96" s="9">
        <v>137189</v>
      </c>
      <c r="I96" s="5">
        <f t="shared" si="1"/>
        <v>293.31186768265047</v>
      </c>
    </row>
    <row r="97" spans="1:9" x14ac:dyDescent="0.2">
      <c r="A97" s="8" t="s">
        <v>74</v>
      </c>
      <c r="B97" t="str">
        <f>_xlfn.XLOOKUP(A97,province_lookup!$A:$A,province_lookup!$B:$B)</f>
        <v>Northeast</v>
      </c>
      <c r="C97" s="2" t="s">
        <v>108</v>
      </c>
      <c r="D97" s="2" t="s">
        <v>9</v>
      </c>
      <c r="E97" s="2">
        <v>2025</v>
      </c>
      <c r="F97" s="9">
        <v>2099825</v>
      </c>
      <c r="G97" s="9">
        <v>2004914</v>
      </c>
      <c r="H97" s="9">
        <v>702713</v>
      </c>
      <c r="I97" s="5">
        <f t="shared" si="1"/>
        <v>334.65312585572605</v>
      </c>
    </row>
    <row r="98" spans="1:9" x14ac:dyDescent="0.2">
      <c r="A98" s="8" t="s">
        <v>47</v>
      </c>
      <c r="B98" t="str">
        <f>_xlfn.XLOOKUP(A98,province_lookup!$A:$A,province_lookup!$B:$B)</f>
        <v>Northeast</v>
      </c>
      <c r="C98" s="2" t="s">
        <v>108</v>
      </c>
      <c r="D98" s="2" t="s">
        <v>9</v>
      </c>
      <c r="E98" s="2">
        <v>2025</v>
      </c>
      <c r="F98" s="9">
        <v>1454074</v>
      </c>
      <c r="G98" s="9">
        <v>1337832</v>
      </c>
      <c r="H98" s="9">
        <v>472700</v>
      </c>
      <c r="I98" s="5">
        <f t="shared" si="1"/>
        <v>325.08661870028624</v>
      </c>
    </row>
    <row r="99" spans="1:9" x14ac:dyDescent="0.2">
      <c r="A99" s="8" t="s">
        <v>44</v>
      </c>
      <c r="B99" t="str">
        <f>_xlfn.XLOOKUP(A99,province_lookup!$A:$A,province_lookup!$B:$B)</f>
        <v>Northeast</v>
      </c>
      <c r="C99" s="2" t="s">
        <v>108</v>
      </c>
      <c r="D99" s="2" t="s">
        <v>9</v>
      </c>
      <c r="E99" s="2">
        <v>2025</v>
      </c>
      <c r="F99" s="9">
        <v>451014</v>
      </c>
      <c r="G99" s="9">
        <v>448431</v>
      </c>
      <c r="H99" s="9">
        <v>183675</v>
      </c>
      <c r="I99" s="5">
        <f t="shared" si="1"/>
        <v>407.24899892242814</v>
      </c>
    </row>
    <row r="100" spans="1:9" x14ac:dyDescent="0.2">
      <c r="A100" s="8" t="s">
        <v>94</v>
      </c>
      <c r="B100" t="str">
        <f>_xlfn.XLOOKUP(A100,province_lookup!$A:$A,province_lookup!$B:$B)</f>
        <v>Northeast</v>
      </c>
      <c r="C100" s="2" t="s">
        <v>108</v>
      </c>
      <c r="D100" s="2" t="s">
        <v>9</v>
      </c>
      <c r="E100" s="2">
        <v>2025</v>
      </c>
      <c r="F100" s="9">
        <v>1353916</v>
      </c>
      <c r="G100" s="9">
        <v>1313748</v>
      </c>
      <c r="H100" s="9">
        <v>501165</v>
      </c>
      <c r="I100" s="5">
        <f t="shared" si="1"/>
        <v>370.15959631173575</v>
      </c>
    </row>
    <row r="101" spans="1:9" x14ac:dyDescent="0.2">
      <c r="A101" s="8" t="s">
        <v>19</v>
      </c>
      <c r="B101" t="str">
        <f>_xlfn.XLOOKUP(A101,province_lookup!$A:$A,province_lookup!$B:$B)</f>
        <v>Northeast</v>
      </c>
      <c r="C101" s="2" t="s">
        <v>108</v>
      </c>
      <c r="D101" s="2" t="s">
        <v>9</v>
      </c>
      <c r="E101" s="2">
        <v>2025</v>
      </c>
      <c r="F101" s="9">
        <v>1072901</v>
      </c>
      <c r="G101" s="9">
        <v>1065671</v>
      </c>
      <c r="H101" s="9">
        <v>394088</v>
      </c>
      <c r="I101" s="5">
        <f t="shared" si="1"/>
        <v>367.31068383755814</v>
      </c>
    </row>
    <row r="102" spans="1:9" x14ac:dyDescent="0.2">
      <c r="A102" s="8" t="s">
        <v>89</v>
      </c>
      <c r="B102" t="str">
        <f>_xlfn.XLOOKUP(A102,province_lookup!$A:$A,province_lookup!$B:$B)</f>
        <v>Northeast</v>
      </c>
      <c r="C102" s="2" t="s">
        <v>108</v>
      </c>
      <c r="D102" s="2" t="s">
        <v>9</v>
      </c>
      <c r="E102" s="2">
        <v>2025</v>
      </c>
      <c r="F102" s="9">
        <v>4117628</v>
      </c>
      <c r="G102" s="9">
        <v>4053487</v>
      </c>
      <c r="H102" s="9">
        <v>1480045</v>
      </c>
      <c r="I102" s="5">
        <f t="shared" si="1"/>
        <v>359.44116369910057</v>
      </c>
    </row>
    <row r="103" spans="1:9" x14ac:dyDescent="0.2">
      <c r="A103" s="8" t="s">
        <v>103</v>
      </c>
      <c r="B103" t="str">
        <f>_xlfn.XLOOKUP(A103,province_lookup!$A:$A,province_lookup!$B:$B)</f>
        <v>Northeast</v>
      </c>
      <c r="C103" s="2" t="s">
        <v>108</v>
      </c>
      <c r="D103" s="2" t="s">
        <v>9</v>
      </c>
      <c r="E103" s="2">
        <v>2025</v>
      </c>
      <c r="F103" s="9">
        <v>3014484</v>
      </c>
      <c r="G103" s="9">
        <v>3003262</v>
      </c>
      <c r="H103" s="9">
        <v>1109392</v>
      </c>
      <c r="I103" s="5">
        <f t="shared" si="1"/>
        <v>368.02053021346273</v>
      </c>
    </row>
    <row r="104" spans="1:9" x14ac:dyDescent="0.2">
      <c r="A104" s="8" t="s">
        <v>85</v>
      </c>
      <c r="B104" t="str">
        <f>_xlfn.XLOOKUP(A104,province_lookup!$A:$A,province_lookup!$B:$B)</f>
        <v>Northeast</v>
      </c>
      <c r="C104" s="2" t="s">
        <v>108</v>
      </c>
      <c r="D104" s="2" t="s">
        <v>9</v>
      </c>
      <c r="E104" s="2">
        <v>2025</v>
      </c>
      <c r="F104" s="9">
        <v>3097970</v>
      </c>
      <c r="G104" s="9">
        <v>3083407</v>
      </c>
      <c r="H104" s="9">
        <v>1189602</v>
      </c>
      <c r="I104" s="5">
        <f t="shared" si="1"/>
        <v>383.9940348034358</v>
      </c>
    </row>
    <row r="105" spans="1:9" x14ac:dyDescent="0.2">
      <c r="A105" s="8" t="s">
        <v>97</v>
      </c>
      <c r="B105" t="str">
        <f>_xlfn.XLOOKUP(A105,province_lookup!$A:$A,province_lookup!$B:$B)</f>
        <v>Northeast</v>
      </c>
      <c r="C105" s="2" t="s">
        <v>108</v>
      </c>
      <c r="D105" s="2" t="s">
        <v>9</v>
      </c>
      <c r="E105" s="2">
        <v>2025</v>
      </c>
      <c r="F105" s="9">
        <v>2926838</v>
      </c>
      <c r="G105" s="9">
        <v>2789531</v>
      </c>
      <c r="H105" s="9">
        <v>1034459</v>
      </c>
      <c r="I105" s="5">
        <f t="shared" si="1"/>
        <v>353.43910390667332</v>
      </c>
    </row>
    <row r="106" spans="1:9" x14ac:dyDescent="0.2">
      <c r="A106" s="8" t="s">
        <v>43</v>
      </c>
      <c r="B106" t="str">
        <f>_xlfn.XLOOKUP(A106,province_lookup!$A:$A,province_lookup!$B:$B)</f>
        <v>Northeast</v>
      </c>
      <c r="C106" s="2" t="s">
        <v>108</v>
      </c>
      <c r="D106" s="2" t="s">
        <v>9</v>
      </c>
      <c r="E106" s="2">
        <v>2025</v>
      </c>
      <c r="F106" s="9">
        <v>2105256</v>
      </c>
      <c r="G106" s="9">
        <v>2042223</v>
      </c>
      <c r="H106" s="9">
        <v>748212</v>
      </c>
      <c r="I106" s="5">
        <f t="shared" si="1"/>
        <v>355.40190836648844</v>
      </c>
    </row>
    <row r="107" spans="1:9" x14ac:dyDescent="0.2">
      <c r="A107" s="8" t="s">
        <v>72</v>
      </c>
      <c r="B107" t="str">
        <f>_xlfn.XLOOKUP(A107,province_lookup!$A:$A,province_lookup!$B:$B)</f>
        <v>Northeast</v>
      </c>
      <c r="C107" s="2" t="s">
        <v>108</v>
      </c>
      <c r="D107" s="2" t="s">
        <v>9</v>
      </c>
      <c r="E107" s="2">
        <v>2025</v>
      </c>
      <c r="F107" s="9">
        <v>3055502</v>
      </c>
      <c r="G107" s="9">
        <v>2844527</v>
      </c>
      <c r="H107" s="9">
        <v>996149</v>
      </c>
      <c r="I107" s="5">
        <f t="shared" si="1"/>
        <v>326.01811420840176</v>
      </c>
    </row>
    <row r="108" spans="1:9" x14ac:dyDescent="0.2">
      <c r="A108" s="8" t="s">
        <v>33</v>
      </c>
      <c r="B108" t="str">
        <f>_xlfn.XLOOKUP(A108,province_lookup!$A:$A,province_lookup!$B:$B)</f>
        <v>Northeast</v>
      </c>
      <c r="C108" s="2" t="s">
        <v>108</v>
      </c>
      <c r="D108" s="2" t="s">
        <v>9</v>
      </c>
      <c r="E108" s="2">
        <v>2025</v>
      </c>
      <c r="F108" s="9">
        <v>1488651</v>
      </c>
      <c r="G108" s="9">
        <v>1455154</v>
      </c>
      <c r="H108" s="9">
        <v>544786</v>
      </c>
      <c r="I108" s="5">
        <f t="shared" si="1"/>
        <v>365.95951636750317</v>
      </c>
    </row>
    <row r="109" spans="1:9" x14ac:dyDescent="0.2">
      <c r="A109" s="8" t="s">
        <v>37</v>
      </c>
      <c r="B109" t="str">
        <f>_xlfn.XLOOKUP(A109,province_lookup!$A:$A,province_lookup!$B:$B)</f>
        <v>Northeast</v>
      </c>
      <c r="C109" s="2" t="s">
        <v>108</v>
      </c>
      <c r="D109" s="2" t="s">
        <v>9</v>
      </c>
      <c r="E109" s="2">
        <v>2025</v>
      </c>
      <c r="F109" s="9">
        <v>2310469</v>
      </c>
      <c r="G109" s="9">
        <v>2261978</v>
      </c>
      <c r="H109" s="9">
        <v>775703</v>
      </c>
      <c r="I109" s="5">
        <f t="shared" si="1"/>
        <v>335.73400032634066</v>
      </c>
    </row>
    <row r="110" spans="1:9" x14ac:dyDescent="0.2">
      <c r="A110" s="8" t="s">
        <v>27</v>
      </c>
      <c r="B110" t="str">
        <f>_xlfn.XLOOKUP(A110,province_lookup!$A:$A,province_lookup!$B:$B)</f>
        <v>Northeast</v>
      </c>
      <c r="C110" s="2" t="s">
        <v>108</v>
      </c>
      <c r="D110" s="2" t="s">
        <v>9</v>
      </c>
      <c r="E110" s="2">
        <v>2025</v>
      </c>
      <c r="F110" s="9">
        <v>1671814</v>
      </c>
      <c r="G110" s="9">
        <v>1645709</v>
      </c>
      <c r="H110" s="9">
        <v>641781</v>
      </c>
      <c r="I110" s="5">
        <f t="shared" si="1"/>
        <v>383.88301569432963</v>
      </c>
    </row>
    <row r="111" spans="1:9" x14ac:dyDescent="0.2">
      <c r="A111" s="8" t="s">
        <v>10</v>
      </c>
      <c r="B111" t="str">
        <f>_xlfn.XLOOKUP(A111,province_lookup!$A:$A,province_lookup!$B:$B)</f>
        <v>Northeast</v>
      </c>
      <c r="C111" s="2" t="s">
        <v>108</v>
      </c>
      <c r="D111" s="2" t="s">
        <v>9</v>
      </c>
      <c r="E111" s="2">
        <v>2025</v>
      </c>
      <c r="F111" s="9">
        <v>3417340</v>
      </c>
      <c r="G111" s="9">
        <v>3393809</v>
      </c>
      <c r="H111" s="9">
        <v>1268399</v>
      </c>
      <c r="I111" s="5">
        <f t="shared" si="1"/>
        <v>371.16558492862868</v>
      </c>
    </row>
    <row r="112" spans="1:9" x14ac:dyDescent="0.2">
      <c r="A112" s="8" t="s">
        <v>78</v>
      </c>
      <c r="B112" t="str">
        <f>_xlfn.XLOOKUP(A112,province_lookup!$A:$A,province_lookup!$B:$B)</f>
        <v>Central</v>
      </c>
      <c r="C112" s="2" t="s">
        <v>108</v>
      </c>
      <c r="D112" s="2" t="s">
        <v>9</v>
      </c>
      <c r="E112" s="2">
        <v>2025</v>
      </c>
      <c r="F112" s="9">
        <v>314961</v>
      </c>
      <c r="G112" s="9">
        <v>313191</v>
      </c>
      <c r="H112" s="9">
        <v>206908</v>
      </c>
      <c r="I112" s="5">
        <f t="shared" si="1"/>
        <v>656.93212810474949</v>
      </c>
    </row>
    <row r="113" spans="1:9" x14ac:dyDescent="0.2">
      <c r="A113" s="8" t="s">
        <v>99</v>
      </c>
      <c r="B113" t="str">
        <f>_xlfn.XLOOKUP(A113,province_lookup!$A:$A,province_lookup!$B:$B)</f>
        <v>Central</v>
      </c>
      <c r="C113" s="2" t="s">
        <v>108</v>
      </c>
      <c r="D113" s="2" t="s">
        <v>9</v>
      </c>
      <c r="E113" s="2">
        <v>2025</v>
      </c>
      <c r="F113" s="9">
        <v>815546</v>
      </c>
      <c r="G113" s="9">
        <v>808953</v>
      </c>
      <c r="H113" s="9">
        <v>405960</v>
      </c>
      <c r="I113" s="5">
        <f t="shared" si="1"/>
        <v>497.7769494301977</v>
      </c>
    </row>
    <row r="114" spans="1:9" x14ac:dyDescent="0.2">
      <c r="A114" s="8" t="s">
        <v>80</v>
      </c>
      <c r="B114" t="str">
        <f>_xlfn.XLOOKUP(A114,province_lookup!$A:$A,province_lookup!$B:$B)</f>
        <v>Central</v>
      </c>
      <c r="C114" s="2" t="s">
        <v>108</v>
      </c>
      <c r="D114" s="2" t="s">
        <v>9</v>
      </c>
      <c r="E114" s="2">
        <v>2025</v>
      </c>
      <c r="F114" s="9">
        <v>358080</v>
      </c>
      <c r="G114" s="9">
        <v>357511</v>
      </c>
      <c r="H114" s="9">
        <v>252576</v>
      </c>
      <c r="I114" s="5">
        <f t="shared" si="1"/>
        <v>705.36193029490619</v>
      </c>
    </row>
    <row r="115" spans="1:9" x14ac:dyDescent="0.2">
      <c r="A115" s="8" t="s">
        <v>26</v>
      </c>
      <c r="B115" t="str">
        <f>_xlfn.XLOOKUP(A115,province_lookup!$A:$A,province_lookup!$B:$B)</f>
        <v>Central</v>
      </c>
      <c r="C115" s="2" t="s">
        <v>108</v>
      </c>
      <c r="D115" s="2" t="s">
        <v>9</v>
      </c>
      <c r="E115" s="2">
        <v>2025</v>
      </c>
      <c r="F115" s="9">
        <v>847056</v>
      </c>
      <c r="G115" s="9">
        <v>842870</v>
      </c>
      <c r="H115" s="9">
        <v>526982</v>
      </c>
      <c r="I115" s="5">
        <f t="shared" si="1"/>
        <v>622.13360155644966</v>
      </c>
    </row>
    <row r="116" spans="1:9" x14ac:dyDescent="0.2">
      <c r="A116" s="8" t="s">
        <v>12</v>
      </c>
      <c r="B116" t="str">
        <f>_xlfn.XLOOKUP(A116,province_lookup!$A:$A,province_lookup!$B:$B)</f>
        <v>Central</v>
      </c>
      <c r="C116" s="2" t="s">
        <v>108</v>
      </c>
      <c r="D116" s="2" t="s">
        <v>9</v>
      </c>
      <c r="E116" s="2">
        <v>2025</v>
      </c>
      <c r="F116" s="9">
        <v>1263475</v>
      </c>
      <c r="G116" s="9">
        <v>1253205</v>
      </c>
      <c r="H116" s="9">
        <v>886454</v>
      </c>
      <c r="I116" s="5">
        <f t="shared" si="1"/>
        <v>701.59995251192151</v>
      </c>
    </row>
    <row r="117" spans="1:9" x14ac:dyDescent="0.2">
      <c r="A117" s="8" t="s">
        <v>21</v>
      </c>
      <c r="B117" t="str">
        <f>_xlfn.XLOOKUP(A117,province_lookup!$A:$A,province_lookup!$B:$B)</f>
        <v>Central</v>
      </c>
      <c r="C117" s="2" t="s">
        <v>108</v>
      </c>
      <c r="D117" s="2" t="s">
        <v>9</v>
      </c>
      <c r="E117" s="2">
        <v>2025</v>
      </c>
      <c r="F117" s="9">
        <v>345658</v>
      </c>
      <c r="G117" s="9">
        <v>344767</v>
      </c>
      <c r="H117" s="9">
        <v>238844</v>
      </c>
      <c r="I117" s="5">
        <f t="shared" si="1"/>
        <v>690.98357335863773</v>
      </c>
    </row>
    <row r="118" spans="1:9" x14ac:dyDescent="0.2">
      <c r="A118" s="8" t="s">
        <v>64</v>
      </c>
      <c r="B118" t="str">
        <f>_xlfn.XLOOKUP(A118,province_lookup!$A:$A,province_lookup!$B:$B)</f>
        <v>Central</v>
      </c>
      <c r="C118" s="2" t="s">
        <v>108</v>
      </c>
      <c r="D118" s="2" t="s">
        <v>9</v>
      </c>
      <c r="E118" s="2">
        <v>2025</v>
      </c>
      <c r="F118" s="9">
        <v>813378</v>
      </c>
      <c r="G118" s="9">
        <v>811037</v>
      </c>
      <c r="H118" s="9">
        <v>551785</v>
      </c>
      <c r="I118" s="5">
        <f t="shared" si="1"/>
        <v>678.38692465249858</v>
      </c>
    </row>
    <row r="119" spans="1:9" x14ac:dyDescent="0.2">
      <c r="A119" s="8" t="s">
        <v>54</v>
      </c>
      <c r="B119" t="str">
        <f>_xlfn.XLOOKUP(A119,province_lookup!$A:$A,province_lookup!$B:$B)</f>
        <v>Central</v>
      </c>
      <c r="C119" s="2" t="s">
        <v>108</v>
      </c>
      <c r="D119" s="2" t="s">
        <v>9</v>
      </c>
      <c r="E119" s="2">
        <v>2025</v>
      </c>
      <c r="F119" s="9">
        <v>82881</v>
      </c>
      <c r="G119" s="9">
        <v>82801</v>
      </c>
      <c r="H119" s="9">
        <v>56926</v>
      </c>
      <c r="I119" s="5">
        <f t="shared" si="1"/>
        <v>686.84016843426116</v>
      </c>
    </row>
    <row r="120" spans="1:9" x14ac:dyDescent="0.2">
      <c r="A120" s="8" t="s">
        <v>96</v>
      </c>
      <c r="B120" t="str">
        <f>_xlfn.XLOOKUP(A120,province_lookup!$A:$A,province_lookup!$B:$B)</f>
        <v>Central</v>
      </c>
      <c r="C120" s="2" t="s">
        <v>108</v>
      </c>
      <c r="D120" s="2" t="s">
        <v>9</v>
      </c>
      <c r="E120" s="2">
        <v>2025</v>
      </c>
      <c r="F120" s="9">
        <v>81022</v>
      </c>
      <c r="G120" s="9">
        <v>80838</v>
      </c>
      <c r="H120" s="9">
        <v>54948</v>
      </c>
      <c r="I120" s="5">
        <f t="shared" si="1"/>
        <v>678.18617165708076</v>
      </c>
    </row>
    <row r="121" spans="1:9" x14ac:dyDescent="0.2">
      <c r="A121" s="8" t="s">
        <v>55</v>
      </c>
      <c r="B121" t="str">
        <f>_xlfn.XLOOKUP(A121,province_lookup!$A:$A,province_lookup!$B:$B)</f>
        <v>Central</v>
      </c>
      <c r="C121" s="2" t="s">
        <v>108</v>
      </c>
      <c r="D121" s="2" t="s">
        <v>9</v>
      </c>
      <c r="E121" s="2">
        <v>2025</v>
      </c>
      <c r="F121" s="9">
        <v>296444</v>
      </c>
      <c r="G121" s="9">
        <v>295961</v>
      </c>
      <c r="H121" s="9">
        <v>215887</v>
      </c>
      <c r="I121" s="5">
        <f t="shared" si="1"/>
        <v>728.25558958859006</v>
      </c>
    </row>
    <row r="122" spans="1:9" x14ac:dyDescent="0.2">
      <c r="A122" s="8" t="s">
        <v>45</v>
      </c>
      <c r="B122" t="str">
        <f>_xlfn.XLOOKUP(A122,province_lookup!$A:$A,province_lookup!$B:$B)</f>
        <v>Central</v>
      </c>
      <c r="C122" s="2" t="s">
        <v>108</v>
      </c>
      <c r="D122" s="2" t="s">
        <v>9</v>
      </c>
      <c r="E122" s="2">
        <v>2025</v>
      </c>
      <c r="F122" s="9">
        <v>361209</v>
      </c>
      <c r="G122" s="9">
        <v>358105</v>
      </c>
      <c r="H122" s="9">
        <v>198409</v>
      </c>
      <c r="I122" s="5">
        <f t="shared" si="1"/>
        <v>549.29140746769872</v>
      </c>
    </row>
    <row r="123" spans="1:9" x14ac:dyDescent="0.2">
      <c r="A123" s="8" t="s">
        <v>102</v>
      </c>
      <c r="B123" t="str">
        <f>_xlfn.XLOOKUP(A123,province_lookup!$A:$A,province_lookup!$B:$B)</f>
        <v>East</v>
      </c>
      <c r="C123" s="2" t="s">
        <v>108</v>
      </c>
      <c r="D123" s="2" t="s">
        <v>9</v>
      </c>
      <c r="E123" s="2">
        <v>2025</v>
      </c>
      <c r="F123" s="9">
        <v>426895</v>
      </c>
      <c r="G123" s="9">
        <v>418121</v>
      </c>
      <c r="H123" s="9">
        <v>172558</v>
      </c>
      <c r="I123" s="5">
        <f t="shared" si="1"/>
        <v>404.2164935171412</v>
      </c>
    </row>
    <row r="124" spans="1:9" x14ac:dyDescent="0.2">
      <c r="A124" s="8" t="s">
        <v>24</v>
      </c>
      <c r="B124" t="str">
        <f>_xlfn.XLOOKUP(A124,province_lookup!$A:$A,province_lookup!$B:$B)</f>
        <v>East</v>
      </c>
      <c r="C124" s="2" t="s">
        <v>108</v>
      </c>
      <c r="D124" s="2" t="s">
        <v>9</v>
      </c>
      <c r="E124" s="2">
        <v>2025</v>
      </c>
      <c r="F124" s="9">
        <v>644107</v>
      </c>
      <c r="G124" s="9">
        <v>640019</v>
      </c>
      <c r="H124" s="9">
        <v>426107</v>
      </c>
      <c r="I124" s="5">
        <f t="shared" si="1"/>
        <v>661.54691689424271</v>
      </c>
    </row>
    <row r="125" spans="1:9" x14ac:dyDescent="0.2">
      <c r="A125" s="8" t="s">
        <v>73</v>
      </c>
      <c r="B125" t="str">
        <f>_xlfn.XLOOKUP(A125,province_lookup!$A:$A,province_lookup!$B:$B)</f>
        <v>East</v>
      </c>
      <c r="C125" s="2" t="s">
        <v>108</v>
      </c>
      <c r="D125" s="2" t="s">
        <v>9</v>
      </c>
      <c r="E125" s="2">
        <v>2025</v>
      </c>
      <c r="F125" s="9">
        <v>748100</v>
      </c>
      <c r="G125" s="9">
        <v>717520</v>
      </c>
      <c r="H125" s="9">
        <v>221502</v>
      </c>
      <c r="I125" s="5">
        <f t="shared" si="1"/>
        <v>296.08608474802833</v>
      </c>
    </row>
    <row r="126" spans="1:9" x14ac:dyDescent="0.2">
      <c r="A126" s="8" t="s">
        <v>28</v>
      </c>
      <c r="B126" t="str">
        <f>_xlfn.XLOOKUP(A126,province_lookup!$A:$A,province_lookup!$B:$B)</f>
        <v>East</v>
      </c>
      <c r="C126" s="2" t="s">
        <v>108</v>
      </c>
      <c r="D126" s="2" t="s">
        <v>9</v>
      </c>
      <c r="E126" s="2">
        <v>2025</v>
      </c>
      <c r="F126" s="9">
        <v>9881</v>
      </c>
      <c r="G126" s="9">
        <v>9722</v>
      </c>
      <c r="H126" s="9">
        <v>3311</v>
      </c>
      <c r="I126" s="5">
        <f t="shared" si="1"/>
        <v>335.08754174678677</v>
      </c>
    </row>
    <row r="127" spans="1:9" x14ac:dyDescent="0.2">
      <c r="A127" s="8" t="s">
        <v>88</v>
      </c>
      <c r="B127" t="str">
        <f>_xlfn.XLOOKUP(A127,province_lookup!$A:$A,province_lookup!$B:$B)</f>
        <v>East</v>
      </c>
      <c r="C127" s="2" t="s">
        <v>108</v>
      </c>
      <c r="D127" s="2" t="s">
        <v>9</v>
      </c>
      <c r="E127" s="2">
        <v>2025</v>
      </c>
      <c r="F127" s="9">
        <v>11316</v>
      </c>
      <c r="G127" s="9">
        <v>11084</v>
      </c>
      <c r="H127" s="9">
        <v>4897</v>
      </c>
      <c r="I127" s="5">
        <f t="shared" si="1"/>
        <v>432.75008837044891</v>
      </c>
    </row>
    <row r="128" spans="1:9" x14ac:dyDescent="0.2">
      <c r="A128" s="8" t="s">
        <v>71</v>
      </c>
      <c r="B128" t="str">
        <f>_xlfn.XLOOKUP(A128,province_lookup!$A:$A,province_lookup!$B:$B)</f>
        <v>East</v>
      </c>
      <c r="C128" s="2" t="s">
        <v>108</v>
      </c>
      <c r="D128" s="2" t="s">
        <v>9</v>
      </c>
      <c r="E128" s="2">
        <v>2025</v>
      </c>
      <c r="F128" s="9">
        <v>8456</v>
      </c>
      <c r="G128" s="9">
        <v>8408</v>
      </c>
      <c r="H128" s="9">
        <v>4365</v>
      </c>
      <c r="I128" s="5">
        <f t="shared" si="1"/>
        <v>516.20151371807003</v>
      </c>
    </row>
    <row r="129" spans="1:9" x14ac:dyDescent="0.2">
      <c r="A129" s="8" t="s">
        <v>98</v>
      </c>
      <c r="B129" t="str">
        <f>_xlfn.XLOOKUP(A129,province_lookup!$A:$A,province_lookup!$B:$B)</f>
        <v>East</v>
      </c>
      <c r="C129" s="2" t="s">
        <v>108</v>
      </c>
      <c r="D129" s="2" t="s">
        <v>9</v>
      </c>
      <c r="E129" s="2">
        <v>2025</v>
      </c>
      <c r="F129" s="9">
        <v>58769</v>
      </c>
      <c r="G129" s="9">
        <v>56497</v>
      </c>
      <c r="H129" s="9">
        <v>27220</v>
      </c>
      <c r="I129" s="5">
        <f t="shared" si="1"/>
        <v>463.16935799486123</v>
      </c>
    </row>
    <row r="130" spans="1:9" x14ac:dyDescent="0.2">
      <c r="A130" s="8" t="s">
        <v>75</v>
      </c>
      <c r="B130" t="str">
        <f>_xlfn.XLOOKUP(A130,province_lookup!$A:$A,province_lookup!$B:$B)</f>
        <v>Central</v>
      </c>
      <c r="C130" s="2" t="s">
        <v>108</v>
      </c>
      <c r="D130" s="2" t="s">
        <v>9</v>
      </c>
      <c r="E130" s="2">
        <v>2025</v>
      </c>
      <c r="F130" s="9">
        <v>17382</v>
      </c>
      <c r="G130" s="9">
        <v>17319</v>
      </c>
      <c r="H130" s="9">
        <v>13694</v>
      </c>
      <c r="I130" s="5">
        <f t="shared" si="1"/>
        <v>787.82648717063626</v>
      </c>
    </row>
    <row r="131" spans="1:9" x14ac:dyDescent="0.2">
      <c r="A131" s="8" t="s">
        <v>76</v>
      </c>
      <c r="B131" t="str">
        <f>_xlfn.XLOOKUP(A131,province_lookup!$A:$A,province_lookup!$B:$B)</f>
        <v>Central</v>
      </c>
      <c r="C131" s="2" t="s">
        <v>108</v>
      </c>
      <c r="D131" s="2" t="s">
        <v>9</v>
      </c>
      <c r="E131" s="2">
        <v>2025</v>
      </c>
      <c r="F131" s="9">
        <v>3880</v>
      </c>
      <c r="G131" s="9">
        <v>3860</v>
      </c>
      <c r="H131" s="9">
        <v>2747</v>
      </c>
      <c r="I131" s="5">
        <f t="shared" ref="I131:I151" si="2">(H131*1000)/F131</f>
        <v>707.98969072164948</v>
      </c>
    </row>
    <row r="132" spans="1:9" x14ac:dyDescent="0.2">
      <c r="A132" s="8" t="s">
        <v>46</v>
      </c>
      <c r="B132" t="str">
        <f>_xlfn.XLOOKUP(A132,province_lookup!$A:$A,province_lookup!$B:$B)</f>
        <v>Central</v>
      </c>
      <c r="C132" s="2" t="s">
        <v>108</v>
      </c>
      <c r="D132" s="2" t="s">
        <v>9</v>
      </c>
      <c r="E132" s="2">
        <v>2025</v>
      </c>
      <c r="F132" s="9">
        <v>247588</v>
      </c>
      <c r="G132" s="9">
        <v>246225</v>
      </c>
      <c r="H132" s="9">
        <v>187255</v>
      </c>
      <c r="I132" s="5">
        <f t="shared" si="2"/>
        <v>756.31694589398512</v>
      </c>
    </row>
    <row r="133" spans="1:9" x14ac:dyDescent="0.2">
      <c r="A133" s="8" t="s">
        <v>35</v>
      </c>
      <c r="B133" t="str">
        <f>_xlfn.XLOOKUP(A133,province_lookup!$A:$A,province_lookup!$B:$B)</f>
        <v>West</v>
      </c>
      <c r="C133" s="2" t="s">
        <v>108</v>
      </c>
      <c r="D133" s="2" t="s">
        <v>9</v>
      </c>
      <c r="E133" s="2">
        <v>2025</v>
      </c>
      <c r="F133" s="9">
        <v>358586</v>
      </c>
      <c r="G133" s="9">
        <v>352097</v>
      </c>
      <c r="H133" s="9">
        <v>213356</v>
      </c>
      <c r="I133" s="5">
        <f t="shared" si="2"/>
        <v>594.99255408744341</v>
      </c>
    </row>
    <row r="134" spans="1:9" x14ac:dyDescent="0.2">
      <c r="A134" s="8" t="s">
        <v>70</v>
      </c>
      <c r="B134" t="str">
        <f>_xlfn.XLOOKUP(A134,province_lookup!$A:$A,province_lookup!$B:$B)</f>
        <v>West</v>
      </c>
      <c r="C134" s="2" t="s">
        <v>108</v>
      </c>
      <c r="D134" s="2" t="s">
        <v>9</v>
      </c>
      <c r="E134" s="2">
        <v>2025</v>
      </c>
      <c r="F134" s="9">
        <v>210482</v>
      </c>
      <c r="G134" s="9">
        <v>209222</v>
      </c>
      <c r="H134" s="9">
        <v>146664</v>
      </c>
      <c r="I134" s="5">
        <f t="shared" si="2"/>
        <v>696.80067654241213</v>
      </c>
    </row>
    <row r="135" spans="1:9" x14ac:dyDescent="0.2">
      <c r="A135" s="8" t="s">
        <v>77</v>
      </c>
      <c r="B135" t="str">
        <f>_xlfn.XLOOKUP(A135,province_lookup!$A:$A,province_lookup!$B:$B)</f>
        <v>Central</v>
      </c>
      <c r="C135" s="2" t="s">
        <v>108</v>
      </c>
      <c r="D135" s="2" t="s">
        <v>9</v>
      </c>
      <c r="E135" s="2">
        <v>2025</v>
      </c>
      <c r="F135" s="9">
        <v>1648</v>
      </c>
      <c r="G135" s="9">
        <v>1640</v>
      </c>
      <c r="H135" s="9">
        <v>1156</v>
      </c>
      <c r="I135" s="5">
        <f t="shared" si="2"/>
        <v>701.45631067961165</v>
      </c>
    </row>
    <row r="136" spans="1:9" x14ac:dyDescent="0.2">
      <c r="A136" s="8" t="s">
        <v>61</v>
      </c>
      <c r="B136" t="str">
        <f>_xlfn.XLOOKUP(A136,province_lookup!$A:$A,province_lookup!$B:$B)</f>
        <v>West</v>
      </c>
      <c r="C136" s="2" t="s">
        <v>108</v>
      </c>
      <c r="D136" s="2" t="s">
        <v>9</v>
      </c>
      <c r="E136" s="2">
        <v>2025</v>
      </c>
      <c r="F136" s="9">
        <v>268716</v>
      </c>
      <c r="G136" s="9">
        <v>267145</v>
      </c>
      <c r="H136" s="9">
        <v>189075</v>
      </c>
      <c r="I136" s="5">
        <f t="shared" si="2"/>
        <v>703.62390032599478</v>
      </c>
    </row>
    <row r="137" spans="1:9" x14ac:dyDescent="0.2">
      <c r="A137" s="8" t="s">
        <v>68</v>
      </c>
      <c r="B137" t="str">
        <f>_xlfn.XLOOKUP(A137,province_lookup!$A:$A,province_lookup!$B:$B)</f>
        <v>West</v>
      </c>
      <c r="C137" s="2" t="s">
        <v>108</v>
      </c>
      <c r="D137" s="2" t="s">
        <v>9</v>
      </c>
      <c r="E137" s="2">
        <v>2025</v>
      </c>
      <c r="F137" s="9">
        <v>17941</v>
      </c>
      <c r="G137" s="9">
        <v>17690</v>
      </c>
      <c r="H137" s="9">
        <v>10139</v>
      </c>
      <c r="I137" s="5">
        <f t="shared" si="2"/>
        <v>565.13014882113589</v>
      </c>
    </row>
    <row r="138" spans="1:9" x14ac:dyDescent="0.2">
      <c r="A138" s="8" t="s">
        <v>31</v>
      </c>
      <c r="B138" t="str">
        <f>_xlfn.XLOOKUP(A138,province_lookup!$A:$A,province_lookup!$B:$B)</f>
        <v>South</v>
      </c>
      <c r="C138" s="2" t="s">
        <v>108</v>
      </c>
      <c r="D138" s="2" t="s">
        <v>9</v>
      </c>
      <c r="E138" s="2">
        <v>2025</v>
      </c>
      <c r="F138" s="9">
        <v>1781</v>
      </c>
      <c r="G138" s="9">
        <v>1770</v>
      </c>
      <c r="H138" s="9">
        <v>732</v>
      </c>
      <c r="I138" s="5">
        <f t="shared" si="2"/>
        <v>411.00505334081976</v>
      </c>
    </row>
    <row r="139" spans="1:9" x14ac:dyDescent="0.2">
      <c r="A139" s="8" t="s">
        <v>69</v>
      </c>
      <c r="B139" t="str">
        <f>_xlfn.XLOOKUP(A139,province_lookup!$A:$A,province_lookup!$B:$B)</f>
        <v>South</v>
      </c>
      <c r="C139" s="2" t="s">
        <v>108</v>
      </c>
      <c r="D139" s="2" t="s">
        <v>9</v>
      </c>
      <c r="E139" s="2">
        <v>2025</v>
      </c>
      <c r="F139" s="9">
        <v>518</v>
      </c>
      <c r="G139" s="9">
        <v>518</v>
      </c>
      <c r="H139" s="9">
        <v>193</v>
      </c>
      <c r="I139" s="5">
        <f t="shared" si="2"/>
        <v>372.58687258687257</v>
      </c>
    </row>
    <row r="140" spans="1:9" x14ac:dyDescent="0.2">
      <c r="A140" s="8" t="s">
        <v>84</v>
      </c>
      <c r="B140" t="str">
        <f>_xlfn.XLOOKUP(A140,province_lookup!$A:$A,province_lookup!$B:$B)</f>
        <v>South</v>
      </c>
      <c r="C140" s="2" t="s">
        <v>108</v>
      </c>
      <c r="D140" s="2" t="s">
        <v>9</v>
      </c>
      <c r="E140" s="2">
        <v>2025</v>
      </c>
      <c r="F140" s="9">
        <v>14657</v>
      </c>
      <c r="G140" s="9">
        <v>14505</v>
      </c>
      <c r="H140" s="9">
        <v>4239</v>
      </c>
      <c r="I140" s="5">
        <f t="shared" si="2"/>
        <v>289.21334515930954</v>
      </c>
    </row>
    <row r="141" spans="1:9" x14ac:dyDescent="0.2">
      <c r="A141" s="8" t="s">
        <v>101</v>
      </c>
      <c r="B141" t="str">
        <f>_xlfn.XLOOKUP(A141,province_lookup!$A:$A,province_lookup!$B:$B)</f>
        <v>South</v>
      </c>
      <c r="C141" s="2" t="s">
        <v>108</v>
      </c>
      <c r="D141" s="2" t="s">
        <v>9</v>
      </c>
      <c r="E141" s="2">
        <v>2025</v>
      </c>
      <c r="F141" s="9">
        <v>1674</v>
      </c>
      <c r="G141" s="9">
        <v>1674</v>
      </c>
      <c r="H141" s="9">
        <v>579</v>
      </c>
      <c r="I141" s="5">
        <f t="shared" si="2"/>
        <v>345.87813620071682</v>
      </c>
    </row>
    <row r="142" spans="1:9" x14ac:dyDescent="0.2">
      <c r="A142" s="8" t="s">
        <v>66</v>
      </c>
      <c r="B142" t="str">
        <f>_xlfn.XLOOKUP(A142,province_lookup!$A:$A,province_lookup!$B:$B)</f>
        <v>South</v>
      </c>
      <c r="C142" s="2" t="s">
        <v>108</v>
      </c>
      <c r="D142" s="2" t="s">
        <v>9</v>
      </c>
      <c r="E142" s="2">
        <v>2025</v>
      </c>
      <c r="F142" s="9">
        <v>26</v>
      </c>
      <c r="G142" s="9">
        <v>26</v>
      </c>
      <c r="H142" s="9">
        <v>9</v>
      </c>
      <c r="I142" s="5">
        <f t="shared" si="2"/>
        <v>346.15384615384613</v>
      </c>
    </row>
    <row r="143" spans="1:9" x14ac:dyDescent="0.2">
      <c r="A143" s="8" t="s">
        <v>38</v>
      </c>
      <c r="B143" t="str">
        <f>_xlfn.XLOOKUP(A143,province_lookup!$A:$A,province_lookup!$B:$B)</f>
        <v>South</v>
      </c>
      <c r="C143" s="2" t="s">
        <v>108</v>
      </c>
      <c r="D143" s="2" t="s">
        <v>9</v>
      </c>
      <c r="E143" s="2">
        <v>2025</v>
      </c>
      <c r="F143" s="9">
        <v>6269</v>
      </c>
      <c r="G143" s="9">
        <v>6243</v>
      </c>
      <c r="H143" s="9">
        <v>1953</v>
      </c>
      <c r="I143" s="5">
        <f t="shared" si="2"/>
        <v>311.53293986281705</v>
      </c>
    </row>
    <row r="144" spans="1:9" x14ac:dyDescent="0.2">
      <c r="A144" s="8" t="s">
        <v>87</v>
      </c>
      <c r="B144" t="str">
        <f>_xlfn.XLOOKUP(A144,province_lookup!$A:$A,province_lookup!$B:$B)</f>
        <v>South</v>
      </c>
      <c r="C144" s="2" t="s">
        <v>108</v>
      </c>
      <c r="D144" s="2" t="s">
        <v>9</v>
      </c>
      <c r="E144" s="2">
        <v>2025</v>
      </c>
      <c r="F144" s="9">
        <v>9344</v>
      </c>
      <c r="G144" s="9">
        <v>9344</v>
      </c>
      <c r="H144" s="9">
        <v>3532</v>
      </c>
      <c r="I144" s="5">
        <f t="shared" si="2"/>
        <v>377.99657534246575</v>
      </c>
    </row>
    <row r="145" spans="1:9" x14ac:dyDescent="0.2">
      <c r="A145" s="8" t="s">
        <v>49</v>
      </c>
      <c r="B145" t="str">
        <f>_xlfn.XLOOKUP(A145,province_lookup!$A:$A,province_lookup!$B:$B)</f>
        <v>South</v>
      </c>
      <c r="C145" s="2" t="s">
        <v>108</v>
      </c>
      <c r="D145" s="2" t="s">
        <v>9</v>
      </c>
      <c r="E145" s="2">
        <v>2025</v>
      </c>
      <c r="F145" s="9">
        <v>141554</v>
      </c>
      <c r="G145" s="9">
        <v>146315</v>
      </c>
      <c r="H145" s="9">
        <v>69193</v>
      </c>
      <c r="I145" s="5">
        <f t="shared" si="2"/>
        <v>488.80992412789465</v>
      </c>
    </row>
    <row r="146" spans="1:9" x14ac:dyDescent="0.2">
      <c r="A146" s="8" t="s">
        <v>58</v>
      </c>
      <c r="B146" t="str">
        <f>_xlfn.XLOOKUP(A146,province_lookup!$A:$A,province_lookup!$B:$B)</f>
        <v>South</v>
      </c>
      <c r="C146" s="2" t="s">
        <v>108</v>
      </c>
      <c r="D146" s="2" t="s">
        <v>9</v>
      </c>
      <c r="E146" s="2">
        <v>2025</v>
      </c>
      <c r="F146" s="9">
        <v>106907</v>
      </c>
      <c r="G146" s="9">
        <v>105271</v>
      </c>
      <c r="H146" s="9">
        <v>48635</v>
      </c>
      <c r="I146" s="5">
        <f t="shared" si="2"/>
        <v>454.92811509068628</v>
      </c>
    </row>
    <row r="147" spans="1:9" x14ac:dyDescent="0.2">
      <c r="A147" s="8" t="s">
        <v>82</v>
      </c>
      <c r="B147" t="str">
        <f>_xlfn.XLOOKUP(A147,province_lookup!$A:$A,province_lookup!$B:$B)</f>
        <v>South</v>
      </c>
      <c r="C147" s="2" t="s">
        <v>108</v>
      </c>
      <c r="D147" s="2" t="s">
        <v>9</v>
      </c>
      <c r="E147" s="2">
        <v>2025</v>
      </c>
      <c r="F147" s="9">
        <v>154321</v>
      </c>
      <c r="G147" s="9">
        <v>147378</v>
      </c>
      <c r="H147" s="9">
        <v>81440</v>
      </c>
      <c r="I147" s="5">
        <f t="shared" si="2"/>
        <v>527.73115778150736</v>
      </c>
    </row>
    <row r="148" spans="1:9" x14ac:dyDescent="0.2">
      <c r="A148" s="8" t="s">
        <v>79</v>
      </c>
      <c r="B148" t="str">
        <f>_xlfn.XLOOKUP(A148,province_lookup!$A:$A,province_lookup!$B:$B)</f>
        <v>South</v>
      </c>
      <c r="C148" s="2" t="s">
        <v>108</v>
      </c>
      <c r="D148" s="2" t="s">
        <v>9</v>
      </c>
      <c r="E148" s="2">
        <v>2025</v>
      </c>
      <c r="F148" s="9">
        <v>14677</v>
      </c>
      <c r="G148" s="9">
        <v>14677</v>
      </c>
      <c r="H148" s="9">
        <v>5901</v>
      </c>
      <c r="I148" s="5">
        <f t="shared" si="2"/>
        <v>402.05764120733119</v>
      </c>
    </row>
    <row r="149" spans="1:9" x14ac:dyDescent="0.2">
      <c r="A149" s="8" t="s">
        <v>56</v>
      </c>
      <c r="B149" t="str">
        <f>_xlfn.XLOOKUP(A149,province_lookup!$A:$A,province_lookup!$B:$B)</f>
        <v>South</v>
      </c>
      <c r="C149" s="2" t="s">
        <v>108</v>
      </c>
      <c r="D149" s="2" t="s">
        <v>9</v>
      </c>
      <c r="E149" s="2">
        <v>2025</v>
      </c>
      <c r="F149" s="9">
        <v>59573</v>
      </c>
      <c r="G149" s="9">
        <v>62196</v>
      </c>
      <c r="H149" s="9">
        <v>25165</v>
      </c>
      <c r="I149" s="5">
        <f t="shared" si="2"/>
        <v>422.42290970741777</v>
      </c>
    </row>
    <row r="150" spans="1:9" x14ac:dyDescent="0.2">
      <c r="A150" s="8" t="s">
        <v>93</v>
      </c>
      <c r="B150" t="str">
        <f>_xlfn.XLOOKUP(A150,province_lookup!$A:$A,province_lookup!$B:$B)</f>
        <v>South</v>
      </c>
      <c r="C150" s="2" t="s">
        <v>108</v>
      </c>
      <c r="D150" s="2" t="s">
        <v>9</v>
      </c>
      <c r="E150" s="2">
        <v>2025</v>
      </c>
      <c r="F150" s="9">
        <v>17439</v>
      </c>
      <c r="G150" s="9">
        <v>17822</v>
      </c>
      <c r="H150" s="9">
        <v>5780</v>
      </c>
      <c r="I150" s="5">
        <f t="shared" si="2"/>
        <v>331.44102299443773</v>
      </c>
    </row>
    <row r="151" spans="1:9" x14ac:dyDescent="0.2">
      <c r="A151" s="8" t="s">
        <v>51</v>
      </c>
      <c r="B151" t="str">
        <f>_xlfn.XLOOKUP(A151,province_lookup!$A:$A,province_lookup!$B:$B)</f>
        <v>South</v>
      </c>
      <c r="C151" s="2" t="s">
        <v>108</v>
      </c>
      <c r="D151" s="2" t="s">
        <v>9</v>
      </c>
      <c r="E151" s="2">
        <v>2025</v>
      </c>
      <c r="F151" s="9">
        <v>21260</v>
      </c>
      <c r="G151" s="9">
        <v>21336</v>
      </c>
      <c r="H151" s="9">
        <v>10390</v>
      </c>
      <c r="I151" s="5">
        <f t="shared" si="2"/>
        <v>488.71119473189088</v>
      </c>
    </row>
    <row r="152" spans="1:9" x14ac:dyDescent="0.2">
      <c r="A152" s="8" t="s">
        <v>29</v>
      </c>
      <c r="B152" t="str">
        <f>_xlfn.XLOOKUP(A152,province_lookup!$A:$A,province_lookup!$B:$B)</f>
        <v>North</v>
      </c>
      <c r="C152" s="2" t="s">
        <v>110</v>
      </c>
      <c r="D152" s="2" t="s">
        <v>109</v>
      </c>
      <c r="E152" s="2">
        <v>2025</v>
      </c>
      <c r="F152" s="10">
        <v>3764</v>
      </c>
      <c r="G152" s="10">
        <v>1659</v>
      </c>
      <c r="H152" s="10">
        <v>457</v>
      </c>
      <c r="I152" s="5">
        <f>H152*1000/F152</f>
        <v>121.413390010627</v>
      </c>
    </row>
    <row r="153" spans="1:9" x14ac:dyDescent="0.2">
      <c r="A153" s="8" t="s">
        <v>59</v>
      </c>
      <c r="B153" t="str">
        <f>_xlfn.XLOOKUP(A153,province_lookup!$A:$A,province_lookup!$B:$B)</f>
        <v>North</v>
      </c>
      <c r="C153" s="2" t="s">
        <v>110</v>
      </c>
      <c r="D153" s="2" t="s">
        <v>109</v>
      </c>
      <c r="E153" s="2">
        <v>2025</v>
      </c>
      <c r="F153" s="10">
        <v>1558</v>
      </c>
      <c r="G153" s="10">
        <v>120</v>
      </c>
      <c r="H153" s="10">
        <v>47</v>
      </c>
      <c r="I153" s="5">
        <f t="shared" ref="I153:I216" si="3">H153*1000/F153</f>
        <v>30.166880616174584</v>
      </c>
    </row>
    <row r="154" spans="1:9" x14ac:dyDescent="0.2">
      <c r="A154" s="8" t="s">
        <v>104</v>
      </c>
      <c r="B154" t="str">
        <f>_xlfn.XLOOKUP(A154,province_lookup!$A:$A,province_lookup!$B:$B)</f>
        <v>North</v>
      </c>
      <c r="C154" s="2" t="s">
        <v>110</v>
      </c>
      <c r="D154" s="2" t="s">
        <v>109</v>
      </c>
      <c r="E154" s="2">
        <v>2025</v>
      </c>
      <c r="F154" s="10">
        <v>581</v>
      </c>
      <c r="G154" s="10">
        <v>155</v>
      </c>
      <c r="H154" s="10">
        <v>82</v>
      </c>
      <c r="I154" s="5">
        <f t="shared" si="3"/>
        <v>141.13597246127367</v>
      </c>
    </row>
    <row r="155" spans="1:9" x14ac:dyDescent="0.2">
      <c r="A155" s="8" t="s">
        <v>39</v>
      </c>
      <c r="B155" t="str">
        <f>_xlfn.XLOOKUP(A155,province_lookup!$A:$A,province_lookup!$B:$B)</f>
        <v>North</v>
      </c>
      <c r="C155" s="2" t="s">
        <v>110</v>
      </c>
      <c r="D155" s="2" t="s">
        <v>109</v>
      </c>
      <c r="E155" s="2">
        <v>2025</v>
      </c>
      <c r="F155" s="10">
        <v>387</v>
      </c>
      <c r="G155" s="10">
        <v>58</v>
      </c>
      <c r="H155" s="10">
        <v>24</v>
      </c>
      <c r="I155" s="5">
        <f t="shared" si="3"/>
        <v>62.015503875968989</v>
      </c>
    </row>
    <row r="156" spans="1:9" x14ac:dyDescent="0.2">
      <c r="A156" s="8" t="s">
        <v>7</v>
      </c>
      <c r="B156" t="str">
        <f>_xlfn.XLOOKUP(A156,province_lookup!$A:$A,province_lookup!$B:$B)</f>
        <v>North</v>
      </c>
      <c r="C156" s="2" t="s">
        <v>110</v>
      </c>
      <c r="D156" s="2" t="s">
        <v>109</v>
      </c>
      <c r="E156" s="2">
        <v>2025</v>
      </c>
      <c r="F156" s="10">
        <v>5037</v>
      </c>
      <c r="G156" s="10">
        <v>1706</v>
      </c>
      <c r="H156" s="10">
        <v>805</v>
      </c>
      <c r="I156" s="5">
        <f t="shared" si="3"/>
        <v>159.8173515981735</v>
      </c>
    </row>
    <row r="157" spans="1:9" x14ac:dyDescent="0.2">
      <c r="A157" s="8" t="s">
        <v>42</v>
      </c>
      <c r="B157" t="str">
        <f>_xlfn.XLOOKUP(A157,province_lookup!$A:$A,province_lookup!$B:$B)</f>
        <v>North</v>
      </c>
      <c r="C157" s="2" t="s">
        <v>110</v>
      </c>
      <c r="D157" s="2" t="s">
        <v>109</v>
      </c>
      <c r="E157" s="2">
        <v>2025</v>
      </c>
      <c r="F157" s="10">
        <v>200</v>
      </c>
      <c r="G157" s="10">
        <v>56</v>
      </c>
      <c r="H157" s="10">
        <v>9.08</v>
      </c>
      <c r="I157" s="5">
        <f t="shared" si="3"/>
        <v>45.4</v>
      </c>
    </row>
    <row r="158" spans="1:9" x14ac:dyDescent="0.2">
      <c r="A158" s="8" t="s">
        <v>86</v>
      </c>
      <c r="B158" t="str">
        <f>_xlfn.XLOOKUP(A158,province_lookup!$A:$A,province_lookup!$B:$B)</f>
        <v>North</v>
      </c>
      <c r="C158" s="2" t="s">
        <v>110</v>
      </c>
      <c r="D158" s="2" t="s">
        <v>109</v>
      </c>
      <c r="E158" s="2">
        <v>2025</v>
      </c>
      <c r="F158" s="10">
        <v>6723</v>
      </c>
      <c r="G158" s="10">
        <v>3777</v>
      </c>
      <c r="H158" s="10">
        <v>3030</v>
      </c>
      <c r="I158" s="5">
        <f t="shared" si="3"/>
        <v>450.69165551093261</v>
      </c>
    </row>
    <row r="159" spans="1:9" x14ac:dyDescent="0.2">
      <c r="A159" s="8" t="s">
        <v>34</v>
      </c>
      <c r="B159" t="str">
        <f>_xlfn.XLOOKUP(A159,province_lookup!$A:$A,province_lookup!$B:$B)</f>
        <v>North</v>
      </c>
      <c r="C159" s="2" t="s">
        <v>110</v>
      </c>
      <c r="D159" s="2" t="s">
        <v>109</v>
      </c>
      <c r="E159" s="2">
        <v>2025</v>
      </c>
      <c r="F159" s="10">
        <v>2506</v>
      </c>
      <c r="G159" s="10">
        <v>1747</v>
      </c>
      <c r="H159" s="10">
        <v>849</v>
      </c>
      <c r="I159" s="5">
        <f t="shared" si="3"/>
        <v>338.78691141260975</v>
      </c>
    </row>
    <row r="160" spans="1:9" x14ac:dyDescent="0.2">
      <c r="A160" s="8" t="s">
        <v>83</v>
      </c>
      <c r="B160" t="str">
        <f>_xlfn.XLOOKUP(A160,province_lookup!$A:$A,province_lookup!$B:$B)</f>
        <v>North</v>
      </c>
      <c r="C160" s="2" t="s">
        <v>110</v>
      </c>
      <c r="D160" s="2" t="s">
        <v>109</v>
      </c>
      <c r="E160" s="2">
        <v>2025</v>
      </c>
      <c r="F160" s="10">
        <v>16699</v>
      </c>
      <c r="G160" s="10">
        <v>13432</v>
      </c>
      <c r="H160" s="10">
        <v>7902</v>
      </c>
      <c r="I160" s="5">
        <f t="shared" si="3"/>
        <v>473.20198814300255</v>
      </c>
    </row>
    <row r="161" spans="1:9" x14ac:dyDescent="0.2">
      <c r="A161" s="8" t="s">
        <v>65</v>
      </c>
      <c r="B161" t="str">
        <f>_xlfn.XLOOKUP(A161,province_lookup!$A:$A,province_lookup!$B:$B)</f>
        <v>North</v>
      </c>
      <c r="C161" s="2" t="s">
        <v>110</v>
      </c>
      <c r="D161" s="2" t="s">
        <v>109</v>
      </c>
      <c r="E161" s="2">
        <v>2025</v>
      </c>
      <c r="F161" s="10">
        <v>8229</v>
      </c>
      <c r="G161" s="10">
        <v>5555</v>
      </c>
      <c r="H161" s="10">
        <v>3684</v>
      </c>
      <c r="I161" s="5">
        <f t="shared" si="3"/>
        <v>447.68501640539557</v>
      </c>
    </row>
    <row r="162" spans="1:9" x14ac:dyDescent="0.2">
      <c r="A162" s="8" t="s">
        <v>50</v>
      </c>
      <c r="B162" t="str">
        <f>_xlfn.XLOOKUP(A162,province_lookup!$A:$A,province_lookup!$B:$B)</f>
        <v>North</v>
      </c>
      <c r="C162" s="2" t="s">
        <v>110</v>
      </c>
      <c r="D162" s="2" t="s">
        <v>109</v>
      </c>
      <c r="E162" s="2">
        <v>2025</v>
      </c>
      <c r="F162" s="10">
        <v>3285</v>
      </c>
      <c r="G162" s="10">
        <v>1509</v>
      </c>
      <c r="H162" s="10">
        <v>375</v>
      </c>
      <c r="I162" s="5">
        <f t="shared" si="3"/>
        <v>114.15525114155251</v>
      </c>
    </row>
    <row r="163" spans="1:9" x14ac:dyDescent="0.2">
      <c r="A163" s="8" t="s">
        <v>92</v>
      </c>
      <c r="B163" t="str">
        <f>_xlfn.XLOOKUP(A163,province_lookup!$A:$A,province_lookup!$B:$B)</f>
        <v>North</v>
      </c>
      <c r="C163" s="2" t="s">
        <v>110</v>
      </c>
      <c r="D163" s="2" t="s">
        <v>109</v>
      </c>
      <c r="E163" s="2">
        <v>2025</v>
      </c>
      <c r="F163" s="10">
        <v>56108</v>
      </c>
      <c r="G163" s="10">
        <v>42692</v>
      </c>
      <c r="H163" s="10">
        <v>39684</v>
      </c>
      <c r="I163" s="5">
        <f t="shared" si="3"/>
        <v>707.27881941969065</v>
      </c>
    </row>
    <row r="164" spans="1:9" x14ac:dyDescent="0.2">
      <c r="A164" s="8" t="s">
        <v>63</v>
      </c>
      <c r="B164" t="str">
        <f>_xlfn.XLOOKUP(A164,province_lookup!$A:$A,province_lookup!$B:$B)</f>
        <v>North</v>
      </c>
      <c r="C164" s="2" t="s">
        <v>110</v>
      </c>
      <c r="D164" s="2" t="s">
        <v>109</v>
      </c>
      <c r="E164" s="2">
        <v>2025</v>
      </c>
      <c r="F164" s="10">
        <v>8345</v>
      </c>
      <c r="G164" s="10">
        <v>4199</v>
      </c>
      <c r="H164" s="10">
        <v>2290</v>
      </c>
      <c r="I164" s="5">
        <f t="shared" si="3"/>
        <v>274.41581785500301</v>
      </c>
    </row>
    <row r="165" spans="1:9" x14ac:dyDescent="0.2">
      <c r="A165" s="8" t="s">
        <v>62</v>
      </c>
      <c r="B165" t="str">
        <f>_xlfn.XLOOKUP(A165,province_lookup!$A:$A,province_lookup!$B:$B)</f>
        <v>Central</v>
      </c>
      <c r="C165" s="2" t="s">
        <v>110</v>
      </c>
      <c r="D165" s="2" t="s">
        <v>109</v>
      </c>
      <c r="E165" s="2">
        <v>2025</v>
      </c>
      <c r="F165" s="10">
        <v>1067</v>
      </c>
      <c r="G165" s="10">
        <v>779</v>
      </c>
      <c r="H165" s="10">
        <v>1024</v>
      </c>
      <c r="I165" s="5">
        <f t="shared" si="3"/>
        <v>959.70009372071229</v>
      </c>
    </row>
    <row r="166" spans="1:9" x14ac:dyDescent="0.2">
      <c r="A166" s="8" t="s">
        <v>48</v>
      </c>
      <c r="B166" t="str">
        <f>_xlfn.XLOOKUP(A166,province_lookup!$A:$A,province_lookup!$B:$B)</f>
        <v>Central</v>
      </c>
      <c r="C166" s="2" t="s">
        <v>110</v>
      </c>
      <c r="D166" s="2" t="s">
        <v>109</v>
      </c>
      <c r="E166" s="2">
        <v>2025</v>
      </c>
      <c r="F166" s="10">
        <v>500</v>
      </c>
      <c r="G166" s="10">
        <v>183</v>
      </c>
      <c r="H166" s="10">
        <v>90</v>
      </c>
      <c r="I166" s="5">
        <f t="shared" si="3"/>
        <v>180</v>
      </c>
    </row>
    <row r="167" spans="1:9" x14ac:dyDescent="0.2">
      <c r="A167" s="8" t="s">
        <v>91</v>
      </c>
      <c r="B167" t="str">
        <f>_xlfn.XLOOKUP(A167,province_lookup!$A:$A,province_lookup!$B:$B)</f>
        <v>Central</v>
      </c>
      <c r="C167" s="2" t="s">
        <v>110</v>
      </c>
      <c r="D167" s="2" t="s">
        <v>109</v>
      </c>
      <c r="E167" s="2">
        <v>2025</v>
      </c>
      <c r="F167" s="10">
        <v>2146</v>
      </c>
      <c r="G167" s="10">
        <v>1395</v>
      </c>
      <c r="H167" s="10">
        <v>976</v>
      </c>
      <c r="I167" s="5">
        <f t="shared" si="3"/>
        <v>454.79962721342031</v>
      </c>
    </row>
    <row r="168" spans="1:9" x14ac:dyDescent="0.2">
      <c r="A168" s="8" t="s">
        <v>60</v>
      </c>
      <c r="B168" t="str">
        <f>_xlfn.XLOOKUP(A168,province_lookup!$A:$A,province_lookup!$B:$B)</f>
        <v>Central</v>
      </c>
      <c r="C168" s="2" t="s">
        <v>110</v>
      </c>
      <c r="D168" s="2" t="s">
        <v>109</v>
      </c>
      <c r="E168" s="2">
        <v>2025</v>
      </c>
      <c r="F168" s="10">
        <v>4974</v>
      </c>
      <c r="G168" s="10">
        <v>2932</v>
      </c>
      <c r="H168" s="10">
        <v>2454</v>
      </c>
      <c r="I168" s="5">
        <f t="shared" si="3"/>
        <v>493.3655006031363</v>
      </c>
    </row>
    <row r="169" spans="1:9" x14ac:dyDescent="0.2">
      <c r="A169" s="8" t="s">
        <v>40</v>
      </c>
      <c r="B169" t="str">
        <f>_xlfn.XLOOKUP(A169,province_lookup!$A:$A,province_lookup!$B:$B)</f>
        <v>Northeast</v>
      </c>
      <c r="C169" s="2" t="s">
        <v>110</v>
      </c>
      <c r="D169" s="2" t="s">
        <v>109</v>
      </c>
      <c r="E169" s="2">
        <v>2025</v>
      </c>
      <c r="F169" s="10">
        <v>6124</v>
      </c>
      <c r="G169" s="10">
        <v>3656</v>
      </c>
      <c r="H169" s="10">
        <v>1980</v>
      </c>
      <c r="I169" s="5">
        <f t="shared" si="3"/>
        <v>323.31809274983669</v>
      </c>
    </row>
    <row r="170" spans="1:9" x14ac:dyDescent="0.2">
      <c r="A170" s="8" t="s">
        <v>100</v>
      </c>
      <c r="B170" t="str">
        <f>_xlfn.XLOOKUP(A170,province_lookup!$A:$A,province_lookup!$B:$B)</f>
        <v>Northeast</v>
      </c>
      <c r="C170" s="2" t="s">
        <v>110</v>
      </c>
      <c r="D170" s="2" t="s">
        <v>109</v>
      </c>
      <c r="E170" s="2">
        <v>2025</v>
      </c>
      <c r="F170" s="10">
        <v>794</v>
      </c>
      <c r="G170" s="10">
        <v>182</v>
      </c>
      <c r="H170" s="10">
        <v>28</v>
      </c>
      <c r="I170" s="5">
        <f t="shared" si="3"/>
        <v>35.264483627204029</v>
      </c>
    </row>
    <row r="171" spans="1:9" x14ac:dyDescent="0.2">
      <c r="A171" s="8" t="s">
        <v>90</v>
      </c>
      <c r="B171" t="str">
        <f>_xlfn.XLOOKUP(A171,province_lookup!$A:$A,province_lookup!$B:$B)</f>
        <v>Northeast</v>
      </c>
      <c r="C171" s="2" t="s">
        <v>110</v>
      </c>
      <c r="D171" s="2" t="s">
        <v>109</v>
      </c>
      <c r="E171" s="2">
        <v>2025</v>
      </c>
      <c r="F171" s="10">
        <v>2165</v>
      </c>
      <c r="G171" s="10">
        <v>1060</v>
      </c>
      <c r="H171" s="10">
        <v>382</v>
      </c>
      <c r="I171" s="5">
        <f t="shared" si="3"/>
        <v>176.44341801385681</v>
      </c>
    </row>
    <row r="172" spans="1:9" x14ac:dyDescent="0.2">
      <c r="A172" s="8" t="s">
        <v>53</v>
      </c>
      <c r="B172" t="str">
        <f>_xlfn.XLOOKUP(A172,province_lookup!$A:$A,province_lookup!$B:$B)</f>
        <v>Northeast</v>
      </c>
      <c r="C172" s="2" t="s">
        <v>110</v>
      </c>
      <c r="D172" s="2" t="s">
        <v>109</v>
      </c>
      <c r="E172" s="2">
        <v>2025</v>
      </c>
      <c r="F172" s="10">
        <v>2599</v>
      </c>
      <c r="G172" s="10">
        <v>1820</v>
      </c>
      <c r="H172" s="10">
        <v>766</v>
      </c>
      <c r="I172" s="5">
        <f t="shared" si="3"/>
        <v>294.72874182377836</v>
      </c>
    </row>
    <row r="173" spans="1:9" x14ac:dyDescent="0.2">
      <c r="A173" s="8" t="s">
        <v>22</v>
      </c>
      <c r="B173" t="str">
        <f>_xlfn.XLOOKUP(A173,province_lookup!$A:$A,province_lookup!$B:$B)</f>
        <v>Northeast</v>
      </c>
      <c r="C173" s="2" t="s">
        <v>110</v>
      </c>
      <c r="D173" s="2" t="s">
        <v>109</v>
      </c>
      <c r="E173" s="2">
        <v>2025</v>
      </c>
      <c r="F173" s="10">
        <v>3870</v>
      </c>
      <c r="G173" s="10">
        <v>2939</v>
      </c>
      <c r="H173" s="10">
        <v>1624</v>
      </c>
      <c r="I173" s="5">
        <f t="shared" si="3"/>
        <v>419.63824289405687</v>
      </c>
    </row>
    <row r="174" spans="1:9" x14ac:dyDescent="0.2">
      <c r="A174" s="8" t="s">
        <v>74</v>
      </c>
      <c r="B174" t="str">
        <f>_xlfn.XLOOKUP(A174,province_lookup!$A:$A,province_lookup!$B:$B)</f>
        <v>Northeast</v>
      </c>
      <c r="C174" s="2" t="s">
        <v>110</v>
      </c>
      <c r="D174" s="2" t="s">
        <v>109</v>
      </c>
      <c r="E174" s="2">
        <v>2025</v>
      </c>
      <c r="F174" s="10">
        <v>1019</v>
      </c>
      <c r="G174" s="10">
        <v>562</v>
      </c>
      <c r="H174" s="10">
        <v>257</v>
      </c>
      <c r="I174" s="5">
        <f t="shared" si="3"/>
        <v>252.20804710500491</v>
      </c>
    </row>
    <row r="175" spans="1:9" x14ac:dyDescent="0.2">
      <c r="A175" s="8" t="s">
        <v>47</v>
      </c>
      <c r="B175" t="str">
        <f>_xlfn.XLOOKUP(A175,province_lookup!$A:$A,province_lookup!$B:$B)</f>
        <v>Northeast</v>
      </c>
      <c r="C175" s="2" t="s">
        <v>110</v>
      </c>
      <c r="D175" s="2" t="s">
        <v>109</v>
      </c>
      <c r="E175" s="2">
        <v>2025</v>
      </c>
      <c r="F175" s="10">
        <v>1381</v>
      </c>
      <c r="G175" s="10">
        <v>977</v>
      </c>
      <c r="H175" s="10">
        <v>352</v>
      </c>
      <c r="I175" s="5">
        <f t="shared" si="3"/>
        <v>254.88776249094857</v>
      </c>
    </row>
    <row r="176" spans="1:9" x14ac:dyDescent="0.2">
      <c r="A176" s="8" t="s">
        <v>44</v>
      </c>
      <c r="B176" t="str">
        <f>_xlfn.XLOOKUP(A176,province_lookup!$A:$A,province_lookup!$B:$B)</f>
        <v>Northeast</v>
      </c>
      <c r="C176" s="2" t="s">
        <v>110</v>
      </c>
      <c r="D176" s="2" t="s">
        <v>109</v>
      </c>
      <c r="E176" s="2">
        <v>2025</v>
      </c>
      <c r="F176" s="10">
        <v>880</v>
      </c>
      <c r="G176" s="10">
        <v>282</v>
      </c>
      <c r="H176" s="10">
        <v>181</v>
      </c>
      <c r="I176" s="5">
        <f t="shared" si="3"/>
        <v>205.68181818181819</v>
      </c>
    </row>
    <row r="177" spans="1:9" x14ac:dyDescent="0.2">
      <c r="A177" s="8" t="s">
        <v>19</v>
      </c>
      <c r="B177" t="str">
        <f>_xlfn.XLOOKUP(A177,province_lookup!$A:$A,province_lookup!$B:$B)</f>
        <v>Northeast</v>
      </c>
      <c r="C177" s="2" t="s">
        <v>110</v>
      </c>
      <c r="D177" s="2" t="s">
        <v>109</v>
      </c>
      <c r="E177" s="2">
        <v>2025</v>
      </c>
      <c r="F177" s="10">
        <v>309</v>
      </c>
      <c r="G177" s="10">
        <v>96</v>
      </c>
      <c r="H177" s="10">
        <v>56</v>
      </c>
      <c r="I177" s="5">
        <f t="shared" si="3"/>
        <v>181.22977346278316</v>
      </c>
    </row>
    <row r="178" spans="1:9" x14ac:dyDescent="0.2">
      <c r="A178" s="8" t="s">
        <v>89</v>
      </c>
      <c r="B178" t="str">
        <f>_xlfn.XLOOKUP(A178,province_lookup!$A:$A,province_lookup!$B:$B)</f>
        <v>Northeast</v>
      </c>
      <c r="C178" s="2" t="s">
        <v>110</v>
      </c>
      <c r="D178" s="2" t="s">
        <v>109</v>
      </c>
      <c r="E178" s="2">
        <v>2025</v>
      </c>
      <c r="F178" s="10">
        <v>6705</v>
      </c>
      <c r="G178" s="10">
        <v>2094</v>
      </c>
      <c r="H178" s="10">
        <v>2651</v>
      </c>
      <c r="I178" s="5">
        <f t="shared" si="3"/>
        <v>395.37658463832963</v>
      </c>
    </row>
    <row r="179" spans="1:9" x14ac:dyDescent="0.2">
      <c r="A179" s="8" t="s">
        <v>103</v>
      </c>
      <c r="B179" t="str">
        <f>_xlfn.XLOOKUP(A179,province_lookup!$A:$A,province_lookup!$B:$B)</f>
        <v>Northeast</v>
      </c>
      <c r="C179" s="2" t="s">
        <v>110</v>
      </c>
      <c r="D179" s="2" t="s">
        <v>109</v>
      </c>
      <c r="E179" s="2">
        <v>2025</v>
      </c>
      <c r="F179" s="10">
        <v>20802</v>
      </c>
      <c r="G179" s="10">
        <v>13571</v>
      </c>
      <c r="H179" s="10">
        <v>18604</v>
      </c>
      <c r="I179" s="5">
        <f t="shared" si="3"/>
        <v>894.33708297279111</v>
      </c>
    </row>
    <row r="180" spans="1:9" x14ac:dyDescent="0.2">
      <c r="A180" s="8" t="s">
        <v>85</v>
      </c>
      <c r="B180" t="str">
        <f>_xlfn.XLOOKUP(A180,province_lookup!$A:$A,province_lookup!$B:$B)</f>
        <v>Northeast</v>
      </c>
      <c r="C180" s="2" t="s">
        <v>110</v>
      </c>
      <c r="D180" s="2" t="s">
        <v>109</v>
      </c>
      <c r="E180" s="2">
        <v>2025</v>
      </c>
      <c r="F180" s="10">
        <v>2113</v>
      </c>
      <c r="G180" s="10">
        <v>502</v>
      </c>
      <c r="H180" s="10">
        <v>281</v>
      </c>
      <c r="I180" s="5">
        <f t="shared" si="3"/>
        <v>132.98627543776621</v>
      </c>
    </row>
    <row r="181" spans="1:9" x14ac:dyDescent="0.2">
      <c r="A181" s="8" t="s">
        <v>97</v>
      </c>
      <c r="B181" t="str">
        <f>_xlfn.XLOOKUP(A181,province_lookup!$A:$A,province_lookup!$B:$B)</f>
        <v>Northeast</v>
      </c>
      <c r="C181" s="2" t="s">
        <v>110</v>
      </c>
      <c r="D181" s="2" t="s">
        <v>109</v>
      </c>
      <c r="E181" s="2">
        <v>2025</v>
      </c>
      <c r="F181" s="10">
        <v>5514</v>
      </c>
      <c r="G181" s="10">
        <v>2044</v>
      </c>
      <c r="H181" s="10">
        <v>1698</v>
      </c>
      <c r="I181" s="5">
        <f t="shared" si="3"/>
        <v>307.94341675734495</v>
      </c>
    </row>
    <row r="182" spans="1:9" x14ac:dyDescent="0.2">
      <c r="A182" s="8" t="s">
        <v>72</v>
      </c>
      <c r="B182" t="str">
        <f>_xlfn.XLOOKUP(A182,province_lookup!$A:$A,province_lookup!$B:$B)</f>
        <v>Northeast</v>
      </c>
      <c r="C182" s="2" t="s">
        <v>110</v>
      </c>
      <c r="D182" s="2" t="s">
        <v>109</v>
      </c>
      <c r="E182" s="2">
        <v>2025</v>
      </c>
      <c r="F182" s="10">
        <v>169</v>
      </c>
      <c r="G182" s="10">
        <v>42</v>
      </c>
      <c r="H182" s="10">
        <v>10</v>
      </c>
      <c r="I182" s="5">
        <f t="shared" si="3"/>
        <v>59.171597633136095</v>
      </c>
    </row>
    <row r="183" spans="1:9" x14ac:dyDescent="0.2">
      <c r="A183" s="8" t="s">
        <v>33</v>
      </c>
      <c r="B183" t="str">
        <f>_xlfn.XLOOKUP(A183,province_lookup!$A:$A,province_lookup!$B:$B)</f>
        <v>Northeast</v>
      </c>
      <c r="C183" s="2" t="s">
        <v>110</v>
      </c>
      <c r="D183" s="2" t="s">
        <v>109</v>
      </c>
      <c r="E183" s="2">
        <v>2025</v>
      </c>
      <c r="F183" s="10">
        <v>543</v>
      </c>
      <c r="G183" s="10">
        <v>306</v>
      </c>
      <c r="H183" s="10">
        <v>67</v>
      </c>
      <c r="I183" s="5">
        <f t="shared" si="3"/>
        <v>123.38858195211786</v>
      </c>
    </row>
    <row r="184" spans="1:9" x14ac:dyDescent="0.2">
      <c r="A184" s="8" t="s">
        <v>27</v>
      </c>
      <c r="B184" t="str">
        <f>_xlfn.XLOOKUP(A184,province_lookup!$A:$A,province_lookup!$B:$B)</f>
        <v>Northeast</v>
      </c>
      <c r="C184" s="2" t="s">
        <v>110</v>
      </c>
      <c r="D184" s="2" t="s">
        <v>109</v>
      </c>
      <c r="E184" s="2">
        <v>2025</v>
      </c>
      <c r="F184" s="10">
        <v>3790</v>
      </c>
      <c r="G184" s="10">
        <v>2478</v>
      </c>
      <c r="H184" s="10">
        <v>1981</v>
      </c>
      <c r="I184" s="5">
        <f t="shared" si="3"/>
        <v>522.69129287598946</v>
      </c>
    </row>
    <row r="185" spans="1:9" x14ac:dyDescent="0.2">
      <c r="A185" s="8" t="s">
        <v>10</v>
      </c>
      <c r="B185" t="str">
        <f>_xlfn.XLOOKUP(A185,province_lookup!$A:$A,province_lookup!$B:$B)</f>
        <v>Northeast</v>
      </c>
      <c r="C185" s="2" t="s">
        <v>110</v>
      </c>
      <c r="D185" s="2" t="s">
        <v>109</v>
      </c>
      <c r="E185" s="2">
        <v>2025</v>
      </c>
      <c r="F185" s="10">
        <v>16431</v>
      </c>
      <c r="G185" s="10">
        <v>7691</v>
      </c>
      <c r="H185" s="10">
        <v>7747</v>
      </c>
      <c r="I185" s="5">
        <f t="shared" si="3"/>
        <v>471.48682368693323</v>
      </c>
    </row>
    <row r="186" spans="1:9" x14ac:dyDescent="0.2">
      <c r="A186" s="8" t="s">
        <v>78</v>
      </c>
      <c r="B186" t="str">
        <f>_xlfn.XLOOKUP(A186,province_lookup!$A:$A,province_lookup!$B:$B)</f>
        <v>Central</v>
      </c>
      <c r="C186" s="2" t="s">
        <v>110</v>
      </c>
      <c r="D186" s="2" t="s">
        <v>109</v>
      </c>
      <c r="E186" s="2">
        <v>2025</v>
      </c>
      <c r="F186" s="10">
        <v>2828</v>
      </c>
      <c r="G186" s="10">
        <v>1931</v>
      </c>
      <c r="H186" s="10">
        <v>1095</v>
      </c>
      <c r="I186" s="5">
        <f t="shared" si="3"/>
        <v>387.19943422913718</v>
      </c>
    </row>
    <row r="187" spans="1:9" x14ac:dyDescent="0.2">
      <c r="A187" s="8" t="s">
        <v>99</v>
      </c>
      <c r="B187" t="str">
        <f>_xlfn.XLOOKUP(A187,province_lookup!$A:$A,province_lookup!$B:$B)</f>
        <v>Central</v>
      </c>
      <c r="C187" s="2" t="s">
        <v>110</v>
      </c>
      <c r="D187" s="2" t="s">
        <v>109</v>
      </c>
      <c r="E187" s="2">
        <v>2025</v>
      </c>
      <c r="F187" s="10">
        <v>550</v>
      </c>
      <c r="G187" s="10">
        <v>99</v>
      </c>
      <c r="H187" s="10">
        <v>32</v>
      </c>
      <c r="I187" s="5">
        <f t="shared" si="3"/>
        <v>58.18181818181818</v>
      </c>
    </row>
    <row r="188" spans="1:9" x14ac:dyDescent="0.2">
      <c r="A188" s="8" t="s">
        <v>26</v>
      </c>
      <c r="B188" t="str">
        <f>_xlfn.XLOOKUP(A188,province_lookup!$A:$A,province_lookup!$B:$B)</f>
        <v>Central</v>
      </c>
      <c r="C188" s="2" t="s">
        <v>110</v>
      </c>
      <c r="D188" s="2" t="s">
        <v>109</v>
      </c>
      <c r="E188" s="2">
        <v>2025</v>
      </c>
      <c r="F188" s="10">
        <v>157</v>
      </c>
      <c r="G188" s="10">
        <v>35</v>
      </c>
      <c r="H188" s="10">
        <v>7</v>
      </c>
      <c r="I188" s="5">
        <f t="shared" si="3"/>
        <v>44.585987261146499</v>
      </c>
    </row>
    <row r="189" spans="1:9" x14ac:dyDescent="0.2">
      <c r="A189" s="8" t="s">
        <v>12</v>
      </c>
      <c r="B189" t="str">
        <f>_xlfn.XLOOKUP(A189,province_lookup!$A:$A,province_lookup!$B:$B)</f>
        <v>Central</v>
      </c>
      <c r="C189" s="2" t="s">
        <v>110</v>
      </c>
      <c r="D189" s="2" t="s">
        <v>109</v>
      </c>
      <c r="E189" s="2">
        <v>2025</v>
      </c>
      <c r="F189" s="10">
        <v>713</v>
      </c>
      <c r="G189" s="10">
        <v>375</v>
      </c>
      <c r="H189" s="10">
        <v>219</v>
      </c>
      <c r="I189" s="5">
        <f t="shared" si="3"/>
        <v>307.15287517531556</v>
      </c>
    </row>
    <row r="190" spans="1:9" x14ac:dyDescent="0.2">
      <c r="A190" s="8" t="s">
        <v>54</v>
      </c>
      <c r="B190" t="str">
        <f>_xlfn.XLOOKUP(A190,province_lookup!$A:$A,province_lookup!$B:$B)</f>
        <v>Central</v>
      </c>
      <c r="C190" s="2" t="s">
        <v>110</v>
      </c>
      <c r="D190" s="2" t="s">
        <v>109</v>
      </c>
      <c r="E190" s="2">
        <v>2025</v>
      </c>
      <c r="F190" s="10">
        <v>2028</v>
      </c>
      <c r="G190" s="10">
        <v>899</v>
      </c>
      <c r="H190" s="10">
        <v>125</v>
      </c>
      <c r="I190" s="5">
        <f t="shared" si="3"/>
        <v>61.637080867850102</v>
      </c>
    </row>
    <row r="191" spans="1:9" x14ac:dyDescent="0.2">
      <c r="A191" s="8" t="s">
        <v>96</v>
      </c>
      <c r="B191" t="str">
        <f>_xlfn.XLOOKUP(A191,province_lookup!$A:$A,province_lookup!$B:$B)</f>
        <v>Central</v>
      </c>
      <c r="C191" s="2" t="s">
        <v>110</v>
      </c>
      <c r="D191" s="2" t="s">
        <v>109</v>
      </c>
      <c r="E191" s="2">
        <v>2025</v>
      </c>
      <c r="F191" s="10">
        <v>13</v>
      </c>
      <c r="G191" s="10">
        <v>1</v>
      </c>
      <c r="H191" s="10">
        <v>1</v>
      </c>
      <c r="I191" s="5">
        <f t="shared" si="3"/>
        <v>76.92307692307692</v>
      </c>
    </row>
    <row r="192" spans="1:9" x14ac:dyDescent="0.2">
      <c r="A192" s="8" t="s">
        <v>55</v>
      </c>
      <c r="B192" t="str">
        <f>_xlfn.XLOOKUP(A192,province_lookup!$A:$A,province_lookup!$B:$B)</f>
        <v>Central</v>
      </c>
      <c r="C192" s="2" t="s">
        <v>110</v>
      </c>
      <c r="D192" s="2" t="s">
        <v>109</v>
      </c>
      <c r="E192" s="2">
        <v>2025</v>
      </c>
      <c r="F192" s="10">
        <v>230</v>
      </c>
      <c r="G192" s="10">
        <v>192</v>
      </c>
      <c r="H192" s="10">
        <v>19</v>
      </c>
      <c r="I192" s="5">
        <f t="shared" si="3"/>
        <v>82.608695652173907</v>
      </c>
    </row>
    <row r="193" spans="1:9" x14ac:dyDescent="0.2">
      <c r="A193" s="8" t="s">
        <v>45</v>
      </c>
      <c r="B193" t="str">
        <f>_xlfn.XLOOKUP(A193,province_lookup!$A:$A,province_lookup!$B:$B)</f>
        <v>Central</v>
      </c>
      <c r="C193" s="2" t="s">
        <v>110</v>
      </c>
      <c r="D193" s="2" t="s">
        <v>109</v>
      </c>
      <c r="E193" s="2">
        <v>2025</v>
      </c>
      <c r="F193" s="10">
        <v>3363</v>
      </c>
      <c r="G193" s="10">
        <v>1378</v>
      </c>
      <c r="H193" s="10">
        <v>891</v>
      </c>
      <c r="I193" s="5">
        <f t="shared" si="3"/>
        <v>264.94201605709191</v>
      </c>
    </row>
    <row r="194" spans="1:9" x14ac:dyDescent="0.2">
      <c r="A194" s="8" t="s">
        <v>102</v>
      </c>
      <c r="B194" t="str">
        <f>_xlfn.XLOOKUP(A194,province_lookup!$A:$A,province_lookup!$B:$B)</f>
        <v>East</v>
      </c>
      <c r="C194" s="2" t="s">
        <v>110</v>
      </c>
      <c r="D194" s="2" t="s">
        <v>109</v>
      </c>
      <c r="E194" s="2">
        <v>2025</v>
      </c>
      <c r="F194" s="10">
        <v>7841</v>
      </c>
      <c r="G194" s="10">
        <v>3007</v>
      </c>
      <c r="H194" s="10">
        <v>2351</v>
      </c>
      <c r="I194" s="5">
        <f t="shared" si="3"/>
        <v>299.83420482081368</v>
      </c>
    </row>
    <row r="195" spans="1:9" x14ac:dyDescent="0.2">
      <c r="A195" s="8" t="s">
        <v>24</v>
      </c>
      <c r="B195" t="str">
        <f>_xlfn.XLOOKUP(A195,province_lookup!$A:$A,province_lookup!$B:$B)</f>
        <v>East</v>
      </c>
      <c r="C195" s="2" t="s">
        <v>110</v>
      </c>
      <c r="D195" s="2" t="s">
        <v>109</v>
      </c>
      <c r="E195" s="2">
        <v>2025</v>
      </c>
      <c r="F195" s="10">
        <v>6007</v>
      </c>
      <c r="G195" s="10">
        <v>1295</v>
      </c>
      <c r="H195" s="10">
        <v>972</v>
      </c>
      <c r="I195" s="5">
        <f t="shared" si="3"/>
        <v>161.81122024304977</v>
      </c>
    </row>
    <row r="196" spans="1:9" x14ac:dyDescent="0.2">
      <c r="A196" s="8" t="s">
        <v>73</v>
      </c>
      <c r="B196" t="str">
        <f>_xlfn.XLOOKUP(A196,province_lookup!$A:$A,province_lookup!$B:$B)</f>
        <v>East</v>
      </c>
      <c r="C196" s="2" t="s">
        <v>110</v>
      </c>
      <c r="D196" s="2" t="s">
        <v>109</v>
      </c>
      <c r="E196" s="2">
        <v>2025</v>
      </c>
      <c r="F196" s="10">
        <v>5653</v>
      </c>
      <c r="G196" s="10">
        <v>2075</v>
      </c>
      <c r="H196" s="10">
        <v>679</v>
      </c>
      <c r="I196" s="5">
        <f t="shared" si="3"/>
        <v>120.11321422253671</v>
      </c>
    </row>
    <row r="197" spans="1:9" x14ac:dyDescent="0.2">
      <c r="A197" s="8" t="s">
        <v>28</v>
      </c>
      <c r="B197" t="str">
        <f>_xlfn.XLOOKUP(A197,province_lookup!$A:$A,province_lookup!$B:$B)</f>
        <v>East</v>
      </c>
      <c r="C197" s="2" t="s">
        <v>110</v>
      </c>
      <c r="D197" s="2" t="s">
        <v>109</v>
      </c>
      <c r="E197" s="2">
        <v>2025</v>
      </c>
      <c r="F197" s="10">
        <v>469721</v>
      </c>
      <c r="G197" s="10">
        <v>335883</v>
      </c>
      <c r="H197" s="10">
        <v>575611</v>
      </c>
      <c r="I197" s="5">
        <f t="shared" si="3"/>
        <v>1225.4316924301872</v>
      </c>
    </row>
    <row r="198" spans="1:9" x14ac:dyDescent="0.2">
      <c r="A198" s="8" t="s">
        <v>88</v>
      </c>
      <c r="B198" t="str">
        <f>_xlfn.XLOOKUP(A198,province_lookup!$A:$A,province_lookup!$B:$B)</f>
        <v>East</v>
      </c>
      <c r="C198" s="2" t="s">
        <v>110</v>
      </c>
      <c r="D198" s="2" t="s">
        <v>109</v>
      </c>
      <c r="E198" s="2">
        <v>2025</v>
      </c>
      <c r="F198" s="10">
        <v>126883</v>
      </c>
      <c r="G198" s="10">
        <v>61457</v>
      </c>
      <c r="H198" s="10">
        <v>107760</v>
      </c>
      <c r="I198" s="5">
        <f t="shared" si="3"/>
        <v>849.28635041731354</v>
      </c>
    </row>
    <row r="199" spans="1:9" x14ac:dyDescent="0.2">
      <c r="A199" s="8" t="s">
        <v>71</v>
      </c>
      <c r="B199" t="str">
        <f>_xlfn.XLOOKUP(A199,province_lookup!$A:$A,province_lookup!$B:$B)</f>
        <v>East</v>
      </c>
      <c r="C199" s="2" t="s">
        <v>110</v>
      </c>
      <c r="D199" s="2" t="s">
        <v>109</v>
      </c>
      <c r="E199" s="2">
        <v>2025</v>
      </c>
      <c r="F199" s="10">
        <v>143393</v>
      </c>
      <c r="G199" s="10">
        <v>98886</v>
      </c>
      <c r="H199" s="10">
        <v>188321</v>
      </c>
      <c r="I199" s="5">
        <f t="shared" si="3"/>
        <v>1313.3207339270398</v>
      </c>
    </row>
    <row r="200" spans="1:9" x14ac:dyDescent="0.2">
      <c r="A200" s="8" t="s">
        <v>98</v>
      </c>
      <c r="B200" t="str">
        <f>_xlfn.XLOOKUP(A200,province_lookup!$A:$A,province_lookup!$B:$B)</f>
        <v>East</v>
      </c>
      <c r="C200" s="2" t="s">
        <v>110</v>
      </c>
      <c r="D200" s="2" t="s">
        <v>109</v>
      </c>
      <c r="E200" s="2">
        <v>2025</v>
      </c>
      <c r="F200" s="10">
        <v>2947</v>
      </c>
      <c r="G200" s="10">
        <v>900</v>
      </c>
      <c r="H200" s="10">
        <v>801</v>
      </c>
      <c r="I200" s="5">
        <f t="shared" si="3"/>
        <v>271.80183237190363</v>
      </c>
    </row>
    <row r="201" spans="1:9" x14ac:dyDescent="0.2">
      <c r="A201" s="8" t="s">
        <v>35</v>
      </c>
      <c r="B201" t="str">
        <f>_xlfn.XLOOKUP(A201,province_lookup!$A:$A,province_lookup!$B:$B)</f>
        <v>West</v>
      </c>
      <c r="C201" s="2" t="s">
        <v>110</v>
      </c>
      <c r="D201" s="2" t="s">
        <v>109</v>
      </c>
      <c r="E201" s="2">
        <v>2025</v>
      </c>
      <c r="F201" s="10">
        <v>13817</v>
      </c>
      <c r="G201" s="10">
        <v>5152</v>
      </c>
      <c r="H201" s="10">
        <v>3904</v>
      </c>
      <c r="I201" s="5">
        <f t="shared" si="3"/>
        <v>282.55048129116307</v>
      </c>
    </row>
    <row r="202" spans="1:9" x14ac:dyDescent="0.2">
      <c r="A202" s="8" t="s">
        <v>70</v>
      </c>
      <c r="B202" t="str">
        <f>_xlfn.XLOOKUP(A202,province_lookup!$A:$A,province_lookup!$B:$B)</f>
        <v>West</v>
      </c>
      <c r="C202" s="2" t="s">
        <v>110</v>
      </c>
      <c r="D202" s="2" t="s">
        <v>109</v>
      </c>
      <c r="E202" s="2">
        <v>2025</v>
      </c>
      <c r="F202" s="10">
        <v>5352</v>
      </c>
      <c r="G202" s="10">
        <v>1842</v>
      </c>
      <c r="H202" s="10">
        <v>1136</v>
      </c>
      <c r="I202" s="5">
        <f t="shared" si="3"/>
        <v>212.25710014947683</v>
      </c>
    </row>
    <row r="203" spans="1:9" x14ac:dyDescent="0.2">
      <c r="A203" s="8" t="s">
        <v>61</v>
      </c>
      <c r="B203" t="str">
        <f>_xlfn.XLOOKUP(A203,province_lookup!$A:$A,province_lookup!$B:$B)</f>
        <v>West</v>
      </c>
      <c r="C203" s="2" t="s">
        <v>110</v>
      </c>
      <c r="D203" s="2" t="s">
        <v>109</v>
      </c>
      <c r="E203" s="2">
        <v>2025</v>
      </c>
      <c r="F203" s="10">
        <v>7280</v>
      </c>
      <c r="G203" s="10">
        <v>5249</v>
      </c>
      <c r="H203" s="10">
        <v>4103</v>
      </c>
      <c r="I203" s="5">
        <f t="shared" si="3"/>
        <v>563.59890109890114</v>
      </c>
    </row>
    <row r="204" spans="1:9" x14ac:dyDescent="0.2">
      <c r="A204" s="8" t="s">
        <v>68</v>
      </c>
      <c r="B204" t="str">
        <f>_xlfn.XLOOKUP(A204,province_lookup!$A:$A,province_lookup!$B:$B)</f>
        <v>West</v>
      </c>
      <c r="C204" s="2" t="s">
        <v>110</v>
      </c>
      <c r="D204" s="2" t="s">
        <v>109</v>
      </c>
      <c r="E204" s="2">
        <v>2025</v>
      </c>
      <c r="F204" s="10">
        <v>20139</v>
      </c>
      <c r="G204" s="10">
        <v>14476</v>
      </c>
      <c r="H204" s="10">
        <v>14137</v>
      </c>
      <c r="I204" s="5">
        <f t="shared" si="3"/>
        <v>701.97129946869256</v>
      </c>
    </row>
    <row r="205" spans="1:9" x14ac:dyDescent="0.2">
      <c r="A205" s="8" t="s">
        <v>31</v>
      </c>
      <c r="B205" t="str">
        <f>_xlfn.XLOOKUP(A205,province_lookup!$A:$A,province_lookup!$B:$B)</f>
        <v>South</v>
      </c>
      <c r="C205" s="2" t="s">
        <v>110</v>
      </c>
      <c r="D205" s="2" t="s">
        <v>109</v>
      </c>
      <c r="E205" s="2">
        <v>2025</v>
      </c>
      <c r="F205" s="10">
        <v>334576</v>
      </c>
      <c r="G205" s="10">
        <v>240775</v>
      </c>
      <c r="H205" s="10">
        <v>278840</v>
      </c>
      <c r="I205" s="5">
        <f t="shared" si="3"/>
        <v>833.41303620104247</v>
      </c>
    </row>
    <row r="206" spans="1:9" x14ac:dyDescent="0.2">
      <c r="A206" s="8" t="s">
        <v>69</v>
      </c>
      <c r="B206" t="str">
        <f>_xlfn.XLOOKUP(A206,province_lookup!$A:$A,province_lookup!$B:$B)</f>
        <v>South</v>
      </c>
      <c r="C206" s="2" t="s">
        <v>110</v>
      </c>
      <c r="D206" s="2" t="s">
        <v>109</v>
      </c>
      <c r="E206" s="2">
        <v>2025</v>
      </c>
      <c r="F206" s="10">
        <v>49155</v>
      </c>
      <c r="G206" s="10">
        <v>42883</v>
      </c>
      <c r="H206" s="10">
        <v>42337</v>
      </c>
      <c r="I206" s="5">
        <f t="shared" si="3"/>
        <v>861.29590072220526</v>
      </c>
    </row>
    <row r="207" spans="1:9" x14ac:dyDescent="0.2">
      <c r="A207" s="8" t="s">
        <v>84</v>
      </c>
      <c r="B207" t="str">
        <f>_xlfn.XLOOKUP(A207,province_lookup!$A:$A,province_lookup!$B:$B)</f>
        <v>South</v>
      </c>
      <c r="C207" s="2" t="s">
        <v>110</v>
      </c>
      <c r="D207" s="2" t="s">
        <v>109</v>
      </c>
      <c r="E207" s="2">
        <v>2025</v>
      </c>
      <c r="F207" s="10">
        <v>128780</v>
      </c>
      <c r="G207" s="10">
        <v>85660</v>
      </c>
      <c r="H207" s="10">
        <v>79944</v>
      </c>
      <c r="I207" s="5">
        <f t="shared" si="3"/>
        <v>620.77962416524304</v>
      </c>
    </row>
    <row r="208" spans="1:9" x14ac:dyDescent="0.2">
      <c r="A208" s="8" t="s">
        <v>101</v>
      </c>
      <c r="B208" t="str">
        <f>_xlfn.XLOOKUP(A208,province_lookup!$A:$A,province_lookup!$B:$B)</f>
        <v>South</v>
      </c>
      <c r="C208" s="2" t="s">
        <v>110</v>
      </c>
      <c r="D208" s="2" t="s">
        <v>109</v>
      </c>
      <c r="E208" s="2">
        <v>2025</v>
      </c>
      <c r="F208" s="10">
        <v>10439</v>
      </c>
      <c r="G208" s="10">
        <v>8688</v>
      </c>
      <c r="H208" s="10">
        <v>4575</v>
      </c>
      <c r="I208" s="5">
        <f t="shared" si="3"/>
        <v>438.26036976721906</v>
      </c>
    </row>
    <row r="209" spans="1:9" x14ac:dyDescent="0.2">
      <c r="A209" s="8" t="s">
        <v>66</v>
      </c>
      <c r="B209" t="str">
        <f>_xlfn.XLOOKUP(A209,province_lookup!$A:$A,province_lookup!$B:$B)</f>
        <v>South</v>
      </c>
      <c r="C209" s="2" t="s">
        <v>110</v>
      </c>
      <c r="D209" s="2" t="s">
        <v>109</v>
      </c>
      <c r="E209" s="2">
        <v>2025</v>
      </c>
      <c r="F209" s="10">
        <v>2941</v>
      </c>
      <c r="G209" s="10">
        <v>2617</v>
      </c>
      <c r="H209" s="10">
        <v>556</v>
      </c>
      <c r="I209" s="5">
        <f t="shared" si="3"/>
        <v>189.05134308058484</v>
      </c>
    </row>
    <row r="210" spans="1:9" x14ac:dyDescent="0.2">
      <c r="A210" s="8" t="s">
        <v>38</v>
      </c>
      <c r="B210" t="str">
        <f>_xlfn.XLOOKUP(A210,province_lookup!$A:$A,province_lookup!$B:$B)</f>
        <v>South</v>
      </c>
      <c r="C210" s="2" t="s">
        <v>110</v>
      </c>
      <c r="D210" s="2" t="s">
        <v>109</v>
      </c>
      <c r="E210" s="2">
        <v>2025</v>
      </c>
      <c r="F210" s="10">
        <v>17508</v>
      </c>
      <c r="G210" s="10">
        <v>5518</v>
      </c>
      <c r="H210" s="10">
        <v>4037</v>
      </c>
      <c r="I210" s="5">
        <f t="shared" si="3"/>
        <v>230.58030614576194</v>
      </c>
    </row>
    <row r="211" spans="1:9" x14ac:dyDescent="0.2">
      <c r="A211" s="8" t="s">
        <v>87</v>
      </c>
      <c r="B211" t="str">
        <f>_xlfn.XLOOKUP(A211,province_lookup!$A:$A,province_lookup!$B:$B)</f>
        <v>South</v>
      </c>
      <c r="C211" s="2" t="s">
        <v>110</v>
      </c>
      <c r="D211" s="2" t="s">
        <v>109</v>
      </c>
      <c r="E211" s="2">
        <v>2025</v>
      </c>
      <c r="F211" s="10">
        <v>8343</v>
      </c>
      <c r="G211" s="10">
        <v>3950</v>
      </c>
      <c r="H211" s="10">
        <v>2349</v>
      </c>
      <c r="I211" s="5">
        <f t="shared" si="3"/>
        <v>281.55339805825241</v>
      </c>
    </row>
    <row r="212" spans="1:9" x14ac:dyDescent="0.2">
      <c r="A212" s="8" t="s">
        <v>49</v>
      </c>
      <c r="B212" t="str">
        <f>_xlfn.XLOOKUP(A212,province_lookup!$A:$A,province_lookup!$B:$B)</f>
        <v>South</v>
      </c>
      <c r="C212" s="2" t="s">
        <v>110</v>
      </c>
      <c r="D212" s="2" t="s">
        <v>109</v>
      </c>
      <c r="E212" s="2">
        <v>2025</v>
      </c>
      <c r="F212" s="10">
        <v>121278</v>
      </c>
      <c r="G212" s="10">
        <v>84355</v>
      </c>
      <c r="H212" s="10">
        <v>95109</v>
      </c>
      <c r="I212" s="5">
        <f t="shared" si="3"/>
        <v>784.22302478602876</v>
      </c>
    </row>
    <row r="213" spans="1:9" x14ac:dyDescent="0.2">
      <c r="A213" s="8" t="s">
        <v>58</v>
      </c>
      <c r="B213" t="str">
        <f>_xlfn.XLOOKUP(A213,province_lookup!$A:$A,province_lookup!$B:$B)</f>
        <v>South</v>
      </c>
      <c r="C213" s="2" t="s">
        <v>110</v>
      </c>
      <c r="D213" s="2" t="s">
        <v>109</v>
      </c>
      <c r="E213" s="2">
        <v>2025</v>
      </c>
      <c r="F213" s="10">
        <v>9577</v>
      </c>
      <c r="G213" s="10">
        <v>6535</v>
      </c>
      <c r="H213" s="10">
        <v>1691</v>
      </c>
      <c r="I213" s="5">
        <f t="shared" si="3"/>
        <v>176.5688629006996</v>
      </c>
    </row>
    <row r="214" spans="1:9" x14ac:dyDescent="0.2">
      <c r="A214" s="8" t="s">
        <v>82</v>
      </c>
      <c r="B214" t="str">
        <f>_xlfn.XLOOKUP(A214,province_lookup!$A:$A,province_lookup!$B:$B)</f>
        <v>South</v>
      </c>
      <c r="C214" s="2" t="s">
        <v>110</v>
      </c>
      <c r="D214" s="2" t="s">
        <v>109</v>
      </c>
      <c r="E214" s="2">
        <v>2025</v>
      </c>
      <c r="F214" s="10">
        <v>27718</v>
      </c>
      <c r="G214" s="10">
        <v>20241</v>
      </c>
      <c r="H214" s="10">
        <v>8445</v>
      </c>
      <c r="I214" s="5">
        <f t="shared" si="3"/>
        <v>304.67566202467708</v>
      </c>
    </row>
    <row r="215" spans="1:9" x14ac:dyDescent="0.2">
      <c r="A215" s="8" t="s">
        <v>79</v>
      </c>
      <c r="B215" t="str">
        <f>_xlfn.XLOOKUP(A215,province_lookup!$A:$A,province_lookup!$B:$B)</f>
        <v>South</v>
      </c>
      <c r="C215" s="2" t="s">
        <v>110</v>
      </c>
      <c r="D215" s="2" t="s">
        <v>109</v>
      </c>
      <c r="E215" s="2">
        <v>2025</v>
      </c>
      <c r="F215" s="10">
        <v>5213</v>
      </c>
      <c r="G215" s="10">
        <v>3816</v>
      </c>
      <c r="H215" s="10">
        <v>1919</v>
      </c>
      <c r="I215" s="5">
        <f t="shared" si="3"/>
        <v>368.11816612315363</v>
      </c>
    </row>
    <row r="216" spans="1:9" x14ac:dyDescent="0.2">
      <c r="A216" s="8" t="s">
        <v>56</v>
      </c>
      <c r="B216" t="str">
        <f>_xlfn.XLOOKUP(A216,province_lookup!$A:$A,province_lookup!$B:$B)</f>
        <v>South</v>
      </c>
      <c r="C216" s="2" t="s">
        <v>110</v>
      </c>
      <c r="D216" s="2" t="s">
        <v>109</v>
      </c>
      <c r="E216" s="2">
        <v>2025</v>
      </c>
      <c r="F216" s="10">
        <v>8557</v>
      </c>
      <c r="G216" s="10">
        <v>6839</v>
      </c>
      <c r="H216" s="10">
        <v>3486</v>
      </c>
      <c r="I216" s="5">
        <f t="shared" si="3"/>
        <v>407.3857660394998</v>
      </c>
    </row>
    <row r="217" spans="1:9" x14ac:dyDescent="0.2">
      <c r="A217" s="8" t="s">
        <v>93</v>
      </c>
      <c r="B217" t="str">
        <f>_xlfn.XLOOKUP(A217,province_lookup!$A:$A,province_lookup!$B:$B)</f>
        <v>South</v>
      </c>
      <c r="C217" s="2" t="s">
        <v>110</v>
      </c>
      <c r="D217" s="2" t="s">
        <v>109</v>
      </c>
      <c r="E217" s="2">
        <v>2025</v>
      </c>
      <c r="F217" s="10">
        <v>114534</v>
      </c>
      <c r="G217" s="10">
        <v>81776</v>
      </c>
      <c r="H217" s="10">
        <v>45426</v>
      </c>
      <c r="I217" s="5">
        <f t="shared" ref="I217:I280" si="4">H217*1000/F217</f>
        <v>396.61585206139659</v>
      </c>
    </row>
    <row r="218" spans="1:9" x14ac:dyDescent="0.2">
      <c r="A218" s="8" t="s">
        <v>51</v>
      </c>
      <c r="B218" t="str">
        <f>_xlfn.XLOOKUP(A218,province_lookup!$A:$A,province_lookup!$B:$B)</f>
        <v>South</v>
      </c>
      <c r="C218" s="2" t="s">
        <v>110</v>
      </c>
      <c r="D218" s="2" t="s">
        <v>109</v>
      </c>
      <c r="E218" s="2">
        <v>2025</v>
      </c>
      <c r="F218" s="10">
        <v>31974</v>
      </c>
      <c r="G218" s="10">
        <v>28458</v>
      </c>
      <c r="H218" s="10">
        <v>527</v>
      </c>
      <c r="I218" s="5">
        <f t="shared" si="4"/>
        <v>16.482141740163883</v>
      </c>
    </row>
    <row r="219" spans="1:9" x14ac:dyDescent="0.2">
      <c r="A219" s="8" t="s">
        <v>29</v>
      </c>
      <c r="B219" t="str">
        <f>_xlfn.XLOOKUP(A219,province_lookup!$A:$A,province_lookup!$B:$B)</f>
        <v>North</v>
      </c>
      <c r="C219" s="2" t="s">
        <v>111</v>
      </c>
      <c r="D219" s="2" t="s">
        <v>109</v>
      </c>
      <c r="E219" s="2">
        <v>2024</v>
      </c>
      <c r="F219" s="9">
        <v>19242</v>
      </c>
      <c r="G219" s="9">
        <v>19444</v>
      </c>
      <c r="H219" s="9">
        <v>44102</v>
      </c>
      <c r="I219" s="5">
        <f t="shared" si="4"/>
        <v>2291.965492152583</v>
      </c>
    </row>
    <row r="220" spans="1:9" x14ac:dyDescent="0.2">
      <c r="A220" s="8" t="s">
        <v>59</v>
      </c>
      <c r="B220" t="str">
        <f>_xlfn.XLOOKUP(A220,province_lookup!$A:$A,province_lookup!$B:$B)</f>
        <v>North</v>
      </c>
      <c r="C220" s="2" t="s">
        <v>111</v>
      </c>
      <c r="D220" s="2" t="s">
        <v>109</v>
      </c>
      <c r="E220" s="2">
        <v>2024</v>
      </c>
      <c r="F220" s="9">
        <v>390</v>
      </c>
      <c r="G220" s="9">
        <v>390</v>
      </c>
      <c r="H220" s="9">
        <v>895</v>
      </c>
      <c r="I220" s="5">
        <f t="shared" si="4"/>
        <v>2294.8717948717949</v>
      </c>
    </row>
    <row r="221" spans="1:9" x14ac:dyDescent="0.2">
      <c r="A221" s="8" t="s">
        <v>104</v>
      </c>
      <c r="B221" t="str">
        <f>_xlfn.XLOOKUP(A221,province_lookup!$A:$A,province_lookup!$B:$B)</f>
        <v>North</v>
      </c>
      <c r="C221" s="2" t="s">
        <v>111</v>
      </c>
      <c r="D221" s="2" t="s">
        <v>109</v>
      </c>
      <c r="E221" s="2">
        <v>2024</v>
      </c>
      <c r="F221" s="9">
        <v>13125</v>
      </c>
      <c r="G221" s="9">
        <v>18131</v>
      </c>
      <c r="H221" s="9">
        <v>30974</v>
      </c>
      <c r="I221" s="5">
        <f t="shared" si="4"/>
        <v>2359.9238095238097</v>
      </c>
    </row>
    <row r="222" spans="1:9" x14ac:dyDescent="0.2">
      <c r="A222" s="8" t="s">
        <v>92</v>
      </c>
      <c r="B222" t="str">
        <f>_xlfn.XLOOKUP(A222,province_lookup!$A:$A,province_lookup!$B:$B)</f>
        <v>North</v>
      </c>
      <c r="C222" s="2" t="s">
        <v>111</v>
      </c>
      <c r="D222" s="2" t="s">
        <v>109</v>
      </c>
      <c r="E222" s="2">
        <v>2024</v>
      </c>
      <c r="F222" s="9">
        <v>11014</v>
      </c>
      <c r="G222" s="9">
        <v>11781</v>
      </c>
      <c r="H222" s="9">
        <v>27149</v>
      </c>
      <c r="I222" s="5">
        <f t="shared" si="4"/>
        <v>2464.9536952968947</v>
      </c>
    </row>
    <row r="223" spans="1:9" x14ac:dyDescent="0.2">
      <c r="A223" s="8" t="s">
        <v>63</v>
      </c>
      <c r="B223" t="str">
        <f>_xlfn.XLOOKUP(A223,province_lookup!$A:$A,province_lookup!$B:$B)</f>
        <v>North</v>
      </c>
      <c r="C223" s="2" t="s">
        <v>111</v>
      </c>
      <c r="D223" s="2" t="s">
        <v>109</v>
      </c>
      <c r="E223" s="2">
        <v>2024</v>
      </c>
      <c r="F223" s="9">
        <v>18416</v>
      </c>
      <c r="G223" s="9">
        <v>18755</v>
      </c>
      <c r="H223" s="9">
        <v>58486</v>
      </c>
      <c r="I223" s="5">
        <f t="shared" si="4"/>
        <v>3175.8253692441353</v>
      </c>
    </row>
    <row r="224" spans="1:9" x14ac:dyDescent="0.2">
      <c r="A224" s="8" t="s">
        <v>91</v>
      </c>
      <c r="B224" t="str">
        <f>_xlfn.XLOOKUP(A224,province_lookup!$A:$A,province_lookup!$B:$B)</f>
        <v>Central</v>
      </c>
      <c r="C224" s="2" t="s">
        <v>111</v>
      </c>
      <c r="D224" s="2" t="s">
        <v>109</v>
      </c>
      <c r="E224" s="2">
        <v>2024</v>
      </c>
      <c r="F224" s="9">
        <v>15206</v>
      </c>
      <c r="G224" s="9">
        <v>15226</v>
      </c>
      <c r="H224" s="9">
        <v>60058</v>
      </c>
      <c r="I224" s="5">
        <f t="shared" si="4"/>
        <v>3949.6251479679072</v>
      </c>
    </row>
    <row r="225" spans="1:9" x14ac:dyDescent="0.2">
      <c r="A225" s="8" t="s">
        <v>60</v>
      </c>
      <c r="B225" t="str">
        <f>_xlfn.XLOOKUP(A225,province_lookup!$A:$A,province_lookup!$B:$B)</f>
        <v>Central</v>
      </c>
      <c r="C225" s="2" t="s">
        <v>111</v>
      </c>
      <c r="D225" s="2" t="s">
        <v>109</v>
      </c>
      <c r="E225" s="2">
        <v>2024</v>
      </c>
      <c r="F225" s="9">
        <v>1935</v>
      </c>
      <c r="G225" s="9">
        <v>1985</v>
      </c>
      <c r="H225" s="9">
        <v>6129</v>
      </c>
      <c r="I225" s="5">
        <f t="shared" si="4"/>
        <v>3167.4418604651164</v>
      </c>
    </row>
    <row r="226" spans="1:9" x14ac:dyDescent="0.2">
      <c r="A226" s="8" t="s">
        <v>40</v>
      </c>
      <c r="B226" t="str">
        <f>_xlfn.XLOOKUP(A226,province_lookup!$A:$A,province_lookup!$B:$B)</f>
        <v>Northeast</v>
      </c>
      <c r="C226" s="2" t="s">
        <v>111</v>
      </c>
      <c r="D226" s="2" t="s">
        <v>109</v>
      </c>
      <c r="E226" s="2">
        <v>2024</v>
      </c>
      <c r="F226" s="9">
        <v>14703</v>
      </c>
      <c r="G226" s="9">
        <v>14837</v>
      </c>
      <c r="H226" s="9">
        <v>48511</v>
      </c>
      <c r="I226" s="5">
        <f t="shared" si="4"/>
        <v>3299.3946813575462</v>
      </c>
    </row>
    <row r="227" spans="1:9" x14ac:dyDescent="0.2">
      <c r="A227" s="8" t="s">
        <v>53</v>
      </c>
      <c r="B227" t="str">
        <f>_xlfn.XLOOKUP(A227,province_lookup!$A:$A,province_lookup!$B:$B)</f>
        <v>Northeast</v>
      </c>
      <c r="C227" s="2" t="s">
        <v>111</v>
      </c>
      <c r="D227" s="2" t="s">
        <v>109</v>
      </c>
      <c r="E227" s="2">
        <v>2024</v>
      </c>
      <c r="F227" s="9">
        <v>2157</v>
      </c>
      <c r="G227" s="9">
        <v>2210</v>
      </c>
      <c r="H227" s="9">
        <v>10344</v>
      </c>
      <c r="I227" s="5">
        <f t="shared" si="4"/>
        <v>4795.5493741307373</v>
      </c>
    </row>
    <row r="228" spans="1:9" x14ac:dyDescent="0.2">
      <c r="A228" s="8" t="s">
        <v>22</v>
      </c>
      <c r="B228" t="str">
        <f>_xlfn.XLOOKUP(A228,province_lookup!$A:$A,province_lookup!$B:$B)</f>
        <v>Northeast</v>
      </c>
      <c r="C228" s="2" t="s">
        <v>111</v>
      </c>
      <c r="D228" s="2" t="s">
        <v>109</v>
      </c>
      <c r="E228" s="2">
        <v>2024</v>
      </c>
      <c r="F228" s="9">
        <v>420</v>
      </c>
      <c r="G228" s="9">
        <v>420</v>
      </c>
      <c r="H228" s="9">
        <v>1282</v>
      </c>
      <c r="I228" s="5">
        <f t="shared" si="4"/>
        <v>3052.3809523809523</v>
      </c>
    </row>
    <row r="229" spans="1:9" x14ac:dyDescent="0.2">
      <c r="A229" s="8" t="s">
        <v>47</v>
      </c>
      <c r="B229" t="str">
        <f>_xlfn.XLOOKUP(A229,province_lookup!$A:$A,province_lookup!$B:$B)</f>
        <v>Northeast</v>
      </c>
      <c r="C229" s="2" t="s">
        <v>111</v>
      </c>
      <c r="D229" s="2" t="s">
        <v>109</v>
      </c>
      <c r="E229" s="2">
        <v>2024</v>
      </c>
      <c r="F229" s="9">
        <v>4860</v>
      </c>
      <c r="G229" s="9">
        <v>4860</v>
      </c>
      <c r="H229" s="9">
        <v>20148</v>
      </c>
      <c r="I229" s="5">
        <f t="shared" si="4"/>
        <v>4145.6790123456794</v>
      </c>
    </row>
    <row r="230" spans="1:9" x14ac:dyDescent="0.2">
      <c r="A230" s="8" t="s">
        <v>27</v>
      </c>
      <c r="B230" t="str">
        <f>_xlfn.XLOOKUP(A230,province_lookup!$A:$A,province_lookup!$B:$B)</f>
        <v>Northeast</v>
      </c>
      <c r="C230" s="2" t="s">
        <v>111</v>
      </c>
      <c r="D230" s="2" t="s">
        <v>109</v>
      </c>
      <c r="E230" s="2">
        <v>2024</v>
      </c>
      <c r="F230" s="9">
        <v>7903</v>
      </c>
      <c r="G230" s="9">
        <v>8174</v>
      </c>
      <c r="H230" s="9">
        <v>36400</v>
      </c>
      <c r="I230" s="5">
        <f t="shared" si="4"/>
        <v>4605.8458813108946</v>
      </c>
    </row>
    <row r="231" spans="1:9" x14ac:dyDescent="0.2">
      <c r="A231" s="8" t="s">
        <v>12</v>
      </c>
      <c r="B231" t="str">
        <f>_xlfn.XLOOKUP(A231,province_lookup!$A:$A,province_lookup!$B:$B)</f>
        <v>Central</v>
      </c>
      <c r="C231" s="2" t="s">
        <v>111</v>
      </c>
      <c r="D231" s="2" t="s">
        <v>109</v>
      </c>
      <c r="E231" s="2">
        <v>2024</v>
      </c>
      <c r="F231" s="9">
        <v>398</v>
      </c>
      <c r="G231" s="9">
        <v>398</v>
      </c>
      <c r="H231" s="9">
        <v>1031</v>
      </c>
      <c r="I231" s="5">
        <f t="shared" si="4"/>
        <v>2590.4522613065328</v>
      </c>
    </row>
    <row r="232" spans="1:9" x14ac:dyDescent="0.2">
      <c r="A232" s="8" t="s">
        <v>24</v>
      </c>
      <c r="B232" t="str">
        <f>_xlfn.XLOOKUP(A232,province_lookup!$A:$A,province_lookup!$B:$B)</f>
        <v>East</v>
      </c>
      <c r="C232" s="2" t="s">
        <v>111</v>
      </c>
      <c r="D232" s="2" t="s">
        <v>109</v>
      </c>
      <c r="E232" s="2">
        <v>2024</v>
      </c>
      <c r="F232" s="9">
        <v>7590</v>
      </c>
      <c r="G232" s="9">
        <v>7718</v>
      </c>
      <c r="H232" s="9">
        <v>37459</v>
      </c>
      <c r="I232" s="5">
        <f t="shared" si="4"/>
        <v>4935.309617918314</v>
      </c>
    </row>
    <row r="233" spans="1:9" x14ac:dyDescent="0.2">
      <c r="A233" s="8" t="s">
        <v>28</v>
      </c>
      <c r="B233" t="str">
        <f>_xlfn.XLOOKUP(A233,province_lookup!$A:$A,province_lookup!$B:$B)</f>
        <v>East</v>
      </c>
      <c r="C233" s="2" t="s">
        <v>111</v>
      </c>
      <c r="D233" s="2" t="s">
        <v>109</v>
      </c>
      <c r="E233" s="2">
        <v>2024</v>
      </c>
      <c r="F233" s="9">
        <v>868</v>
      </c>
      <c r="G233" s="9">
        <v>898</v>
      </c>
      <c r="H233" s="9">
        <v>3144</v>
      </c>
      <c r="I233" s="5">
        <f t="shared" si="4"/>
        <v>3622.1198156682026</v>
      </c>
    </row>
    <row r="234" spans="1:9" x14ac:dyDescent="0.2">
      <c r="A234" s="8" t="s">
        <v>88</v>
      </c>
      <c r="B234" t="str">
        <f>_xlfn.XLOOKUP(A234,province_lookup!$A:$A,province_lookup!$B:$B)</f>
        <v>East</v>
      </c>
      <c r="C234" s="2" t="s">
        <v>111</v>
      </c>
      <c r="D234" s="2" t="s">
        <v>109</v>
      </c>
      <c r="E234" s="2">
        <v>2024</v>
      </c>
      <c r="F234" s="9">
        <v>1707</v>
      </c>
      <c r="G234" s="9">
        <v>1826</v>
      </c>
      <c r="H234" s="9">
        <v>5517</v>
      </c>
      <c r="I234" s="5">
        <f t="shared" si="4"/>
        <v>3231.9859402460456</v>
      </c>
    </row>
    <row r="235" spans="1:9" x14ac:dyDescent="0.2">
      <c r="A235" s="8" t="s">
        <v>71</v>
      </c>
      <c r="B235" t="str">
        <f>_xlfn.XLOOKUP(A235,province_lookup!$A:$A,province_lookup!$B:$B)</f>
        <v>East</v>
      </c>
      <c r="C235" s="2" t="s">
        <v>111</v>
      </c>
      <c r="D235" s="2" t="s">
        <v>109</v>
      </c>
      <c r="E235" s="2">
        <v>2024</v>
      </c>
      <c r="F235" s="9">
        <v>20378</v>
      </c>
      <c r="G235" s="9">
        <v>20904</v>
      </c>
      <c r="H235" s="9">
        <v>117149</v>
      </c>
      <c r="I235" s="5">
        <f t="shared" si="4"/>
        <v>5748.7977230346451</v>
      </c>
    </row>
    <row r="236" spans="1:9" x14ac:dyDescent="0.2">
      <c r="A236" s="8" t="s">
        <v>98</v>
      </c>
      <c r="B236" t="str">
        <f>_xlfn.XLOOKUP(A236,province_lookup!$A:$A,province_lookup!$B:$B)</f>
        <v>East</v>
      </c>
      <c r="C236" s="2" t="s">
        <v>111</v>
      </c>
      <c r="D236" s="2" t="s">
        <v>109</v>
      </c>
      <c r="E236" s="2">
        <v>2024</v>
      </c>
      <c r="F236" s="9">
        <v>16367</v>
      </c>
      <c r="G236" s="9">
        <v>16440</v>
      </c>
      <c r="H236" s="9">
        <v>91345</v>
      </c>
      <c r="I236" s="5">
        <f t="shared" si="4"/>
        <v>5581.0472291806682</v>
      </c>
    </row>
    <row r="237" spans="1:9" x14ac:dyDescent="0.2">
      <c r="A237" s="8" t="s">
        <v>35</v>
      </c>
      <c r="B237" t="str">
        <f>_xlfn.XLOOKUP(A237,province_lookup!$A:$A,province_lookup!$B:$B)</f>
        <v>West</v>
      </c>
      <c r="C237" s="2" t="s">
        <v>111</v>
      </c>
      <c r="D237" s="2" t="s">
        <v>109</v>
      </c>
      <c r="E237" s="2">
        <v>2024</v>
      </c>
      <c r="F237" s="9">
        <v>8818</v>
      </c>
      <c r="G237" s="9">
        <v>9113</v>
      </c>
      <c r="H237" s="9">
        <v>25900</v>
      </c>
      <c r="I237" s="5">
        <f t="shared" si="4"/>
        <v>2937.1739623497392</v>
      </c>
    </row>
    <row r="238" spans="1:9" x14ac:dyDescent="0.2">
      <c r="A238" s="8" t="s">
        <v>70</v>
      </c>
      <c r="B238" t="str">
        <f>_xlfn.XLOOKUP(A238,province_lookup!$A:$A,province_lookup!$B:$B)</f>
        <v>West</v>
      </c>
      <c r="C238" s="2" t="s">
        <v>111</v>
      </c>
      <c r="D238" s="2" t="s">
        <v>109</v>
      </c>
      <c r="E238" s="2">
        <v>2024</v>
      </c>
      <c r="F238" s="9">
        <v>22719</v>
      </c>
      <c r="G238" s="9">
        <v>23970</v>
      </c>
      <c r="H238" s="9">
        <v>62459</v>
      </c>
      <c r="I238" s="5">
        <f t="shared" si="4"/>
        <v>2749.1967076015671</v>
      </c>
    </row>
    <row r="239" spans="1:9" x14ac:dyDescent="0.2">
      <c r="A239" s="8" t="s">
        <v>61</v>
      </c>
      <c r="B239" t="str">
        <f>_xlfn.XLOOKUP(A239,province_lookup!$A:$A,province_lookup!$B:$B)</f>
        <v>West</v>
      </c>
      <c r="C239" s="2" t="s">
        <v>111</v>
      </c>
      <c r="D239" s="2" t="s">
        <v>109</v>
      </c>
      <c r="E239" s="2">
        <v>2024</v>
      </c>
      <c r="F239" s="9">
        <v>16217</v>
      </c>
      <c r="G239" s="9">
        <v>16734</v>
      </c>
      <c r="H239" s="9">
        <v>47633</v>
      </c>
      <c r="I239" s="5">
        <f t="shared" si="4"/>
        <v>2937.2263673922425</v>
      </c>
    </row>
    <row r="240" spans="1:9" x14ac:dyDescent="0.2">
      <c r="A240" s="8" t="s">
        <v>68</v>
      </c>
      <c r="B240" t="str">
        <f>_xlfn.XLOOKUP(A240,province_lookup!$A:$A,province_lookup!$B:$B)</f>
        <v>West</v>
      </c>
      <c r="C240" s="2" t="s">
        <v>111</v>
      </c>
      <c r="D240" s="2" t="s">
        <v>109</v>
      </c>
      <c r="E240" s="2">
        <v>2024</v>
      </c>
      <c r="F240" s="9">
        <v>80077</v>
      </c>
      <c r="G240" s="9">
        <v>82402</v>
      </c>
      <c r="H240" s="9">
        <v>306327</v>
      </c>
      <c r="I240" s="5">
        <f t="shared" si="4"/>
        <v>3825.4055471608576</v>
      </c>
    </row>
    <row r="241" spans="1:9" x14ac:dyDescent="0.2">
      <c r="A241" s="8" t="s">
        <v>31</v>
      </c>
      <c r="B241" t="str">
        <f>_xlfn.XLOOKUP(A241,province_lookup!$A:$A,province_lookup!$B:$B)</f>
        <v>South</v>
      </c>
      <c r="C241" s="2" t="s">
        <v>111</v>
      </c>
      <c r="D241" s="2" t="s">
        <v>109</v>
      </c>
      <c r="E241" s="2">
        <v>2024</v>
      </c>
      <c r="F241" s="9">
        <v>4685</v>
      </c>
      <c r="G241" s="9">
        <v>4762</v>
      </c>
      <c r="H241" s="9">
        <v>14688</v>
      </c>
      <c r="I241" s="5">
        <f t="shared" si="4"/>
        <v>3135.112059765208</v>
      </c>
    </row>
    <row r="242" spans="1:9" x14ac:dyDescent="0.2">
      <c r="A242" s="8" t="s">
        <v>69</v>
      </c>
      <c r="B242" t="str">
        <f>_xlfn.XLOOKUP(A242,province_lookup!$A:$A,province_lookup!$B:$B)</f>
        <v>South</v>
      </c>
      <c r="C242" s="2" t="s">
        <v>111</v>
      </c>
      <c r="D242" s="2" t="s">
        <v>109</v>
      </c>
      <c r="E242" s="2">
        <v>2024</v>
      </c>
      <c r="F242" s="9">
        <v>57</v>
      </c>
      <c r="G242" s="9">
        <v>57</v>
      </c>
      <c r="H242" s="9">
        <v>178</v>
      </c>
      <c r="I242" s="5">
        <f t="shared" si="4"/>
        <v>3122.8070175438597</v>
      </c>
    </row>
    <row r="243" spans="1:9" x14ac:dyDescent="0.2">
      <c r="A243" s="8" t="s">
        <v>84</v>
      </c>
      <c r="B243" t="str">
        <f>_xlfn.XLOOKUP(A243,province_lookup!$A:$A,province_lookup!$B:$B)</f>
        <v>South</v>
      </c>
      <c r="C243" s="2" t="s">
        <v>111</v>
      </c>
      <c r="D243" s="2" t="s">
        <v>109</v>
      </c>
      <c r="E243" s="2">
        <v>2024</v>
      </c>
      <c r="F243" s="9">
        <v>760</v>
      </c>
      <c r="G243" s="9">
        <v>770</v>
      </c>
      <c r="H243" s="9">
        <v>2373</v>
      </c>
      <c r="I243" s="5">
        <f t="shared" si="4"/>
        <v>3122.3684210526317</v>
      </c>
    </row>
    <row r="244" spans="1:9" x14ac:dyDescent="0.2">
      <c r="A244" s="8" t="s">
        <v>49</v>
      </c>
      <c r="B244" t="str">
        <f>_xlfn.XLOOKUP(A244,province_lookup!$A:$A,province_lookup!$B:$B)</f>
        <v>South</v>
      </c>
      <c r="C244" s="2" t="s">
        <v>111</v>
      </c>
      <c r="D244" s="2" t="s">
        <v>109</v>
      </c>
      <c r="E244" s="2">
        <v>2024</v>
      </c>
      <c r="F244" s="9">
        <v>107</v>
      </c>
      <c r="G244" s="9">
        <v>107</v>
      </c>
      <c r="H244" s="9">
        <v>351</v>
      </c>
      <c r="I244" s="5">
        <f t="shared" si="4"/>
        <v>3280.3738317757011</v>
      </c>
    </row>
    <row r="245" spans="1:9" x14ac:dyDescent="0.2">
      <c r="A245" s="8" t="s">
        <v>58</v>
      </c>
      <c r="B245" t="str">
        <f>_xlfn.XLOOKUP(A245,province_lookup!$A:$A,province_lookup!$B:$B)</f>
        <v>South</v>
      </c>
      <c r="C245" s="2" t="s">
        <v>111</v>
      </c>
      <c r="D245" s="2" t="s">
        <v>109</v>
      </c>
      <c r="E245" s="2">
        <v>2024</v>
      </c>
      <c r="F245" s="9">
        <v>3457</v>
      </c>
      <c r="G245" s="9">
        <v>3520</v>
      </c>
      <c r="H245" s="9">
        <v>13682</v>
      </c>
      <c r="I245" s="5">
        <f t="shared" si="4"/>
        <v>3957.7668498698295</v>
      </c>
    </row>
    <row r="246" spans="1:9" x14ac:dyDescent="0.2">
      <c r="A246" s="8" t="s">
        <v>29</v>
      </c>
      <c r="B246" t="str">
        <f>_xlfn.XLOOKUP(A246,province_lookup!$A:$A,province_lookup!$B:$B)</f>
        <v>North</v>
      </c>
      <c r="C246" s="2" t="s">
        <v>112</v>
      </c>
      <c r="D246" s="2" t="s">
        <v>113</v>
      </c>
      <c r="E246" s="2">
        <v>2025</v>
      </c>
      <c r="F246" s="9">
        <v>5831</v>
      </c>
      <c r="G246" s="9">
        <v>5831</v>
      </c>
      <c r="H246" s="9">
        <v>18063</v>
      </c>
      <c r="I246" s="5">
        <f t="shared" si="4"/>
        <v>3097.7533870691132</v>
      </c>
    </row>
    <row r="247" spans="1:9" x14ac:dyDescent="0.2">
      <c r="A247" s="8" t="s">
        <v>59</v>
      </c>
      <c r="B247" t="str">
        <f>_xlfn.XLOOKUP(A247,province_lookup!$A:$A,province_lookup!$B:$B)</f>
        <v>North</v>
      </c>
      <c r="C247" s="2" t="s">
        <v>112</v>
      </c>
      <c r="D247" s="2" t="s">
        <v>113</v>
      </c>
      <c r="E247" s="2">
        <v>2025</v>
      </c>
      <c r="F247" s="9">
        <v>4432</v>
      </c>
      <c r="G247" s="9">
        <v>4432</v>
      </c>
      <c r="H247" s="9">
        <v>15472</v>
      </c>
      <c r="I247" s="5">
        <f t="shared" si="4"/>
        <v>3490.9747292418774</v>
      </c>
    </row>
    <row r="248" spans="1:9" x14ac:dyDescent="0.2">
      <c r="A248" s="8" t="s">
        <v>104</v>
      </c>
      <c r="B248" t="str">
        <f>_xlfn.XLOOKUP(A248,province_lookup!$A:$A,province_lookup!$B:$B)</f>
        <v>North</v>
      </c>
      <c r="C248" s="2" t="s">
        <v>112</v>
      </c>
      <c r="D248" s="2" t="s">
        <v>113</v>
      </c>
      <c r="E248" s="2">
        <v>2025</v>
      </c>
      <c r="F248" s="9">
        <v>346</v>
      </c>
      <c r="G248" s="9">
        <v>346</v>
      </c>
      <c r="H248" s="9">
        <v>983</v>
      </c>
      <c r="I248" s="5">
        <f t="shared" si="4"/>
        <v>2841.0404624277458</v>
      </c>
    </row>
    <row r="249" spans="1:9" x14ac:dyDescent="0.2">
      <c r="A249" s="8" t="s">
        <v>39</v>
      </c>
      <c r="B249" t="str">
        <f>_xlfn.XLOOKUP(A249,province_lookup!$A:$A,province_lookup!$B:$B)</f>
        <v>North</v>
      </c>
      <c r="C249" s="2" t="s">
        <v>112</v>
      </c>
      <c r="D249" s="2" t="s">
        <v>113</v>
      </c>
      <c r="E249" s="2">
        <v>2025</v>
      </c>
      <c r="F249" s="9">
        <v>4695</v>
      </c>
      <c r="G249" s="9">
        <v>4695</v>
      </c>
      <c r="H249" s="9">
        <v>16218</v>
      </c>
      <c r="I249" s="5">
        <f t="shared" si="4"/>
        <v>3454.3130990415334</v>
      </c>
    </row>
    <row r="250" spans="1:9" x14ac:dyDescent="0.2">
      <c r="A250" s="8" t="s">
        <v>7</v>
      </c>
      <c r="B250" t="str">
        <f>_xlfn.XLOOKUP(A250,province_lookup!$A:$A,province_lookup!$B:$B)</f>
        <v>North</v>
      </c>
      <c r="C250" s="2" t="s">
        <v>112</v>
      </c>
      <c r="D250" s="2" t="s">
        <v>113</v>
      </c>
      <c r="E250" s="2">
        <v>2025</v>
      </c>
      <c r="F250" s="9">
        <v>9413</v>
      </c>
      <c r="G250" s="9">
        <v>9413</v>
      </c>
      <c r="H250" s="9">
        <v>29523</v>
      </c>
      <c r="I250" s="5">
        <f t="shared" si="4"/>
        <v>3136.4070965685755</v>
      </c>
    </row>
    <row r="251" spans="1:9" x14ac:dyDescent="0.2">
      <c r="A251" s="8" t="s">
        <v>42</v>
      </c>
      <c r="B251" t="str">
        <f>_xlfn.XLOOKUP(A251,province_lookup!$A:$A,province_lookup!$B:$B)</f>
        <v>North</v>
      </c>
      <c r="C251" s="2" t="s">
        <v>112</v>
      </c>
      <c r="D251" s="2" t="s">
        <v>113</v>
      </c>
      <c r="E251" s="2">
        <v>2025</v>
      </c>
      <c r="F251" s="9">
        <v>68</v>
      </c>
      <c r="G251" s="9">
        <v>68</v>
      </c>
      <c r="H251" s="9">
        <v>190</v>
      </c>
      <c r="I251" s="5">
        <f t="shared" si="4"/>
        <v>2794.1176470588234</v>
      </c>
    </row>
    <row r="252" spans="1:9" x14ac:dyDescent="0.2">
      <c r="A252" s="8" t="s">
        <v>86</v>
      </c>
      <c r="B252" t="str">
        <f>_xlfn.XLOOKUP(A252,province_lookup!$A:$A,province_lookup!$B:$B)</f>
        <v>North</v>
      </c>
      <c r="C252" s="2" t="s">
        <v>112</v>
      </c>
      <c r="D252" s="2" t="s">
        <v>113</v>
      </c>
      <c r="E252" s="2">
        <v>2025</v>
      </c>
      <c r="F252" s="9">
        <v>14628</v>
      </c>
      <c r="G252" s="9">
        <v>14628</v>
      </c>
      <c r="H252" s="9">
        <v>42154</v>
      </c>
      <c r="I252" s="5">
        <f t="shared" si="4"/>
        <v>2881.7336614711512</v>
      </c>
    </row>
    <row r="253" spans="1:9" x14ac:dyDescent="0.2">
      <c r="A253" s="8" t="s">
        <v>74</v>
      </c>
      <c r="B253" t="str">
        <f>_xlfn.XLOOKUP(A253,province_lookup!$A:$A,province_lookup!$B:$B)</f>
        <v>Northeast</v>
      </c>
      <c r="C253" s="2" t="s">
        <v>112</v>
      </c>
      <c r="D253" s="2" t="s">
        <v>113</v>
      </c>
      <c r="E253" s="2">
        <v>2025</v>
      </c>
      <c r="F253" s="9">
        <v>1417</v>
      </c>
      <c r="G253" s="9">
        <v>1412</v>
      </c>
      <c r="H253" s="9">
        <v>4303</v>
      </c>
      <c r="I253" s="5">
        <f t="shared" si="4"/>
        <v>3036.6972477064219</v>
      </c>
    </row>
    <row r="254" spans="1:9" x14ac:dyDescent="0.2">
      <c r="A254" s="8" t="s">
        <v>47</v>
      </c>
      <c r="B254" t="str">
        <f>_xlfn.XLOOKUP(A254,province_lookup!$A:$A,province_lookup!$B:$B)</f>
        <v>Northeast</v>
      </c>
      <c r="C254" s="2" t="s">
        <v>112</v>
      </c>
      <c r="D254" s="2" t="s">
        <v>113</v>
      </c>
      <c r="E254" s="2">
        <v>2025</v>
      </c>
      <c r="F254" s="9">
        <v>560</v>
      </c>
      <c r="G254" s="9">
        <v>560</v>
      </c>
      <c r="H254" s="9">
        <v>1737</v>
      </c>
      <c r="I254" s="5">
        <f t="shared" si="4"/>
        <v>3101.7857142857142</v>
      </c>
    </row>
    <row r="255" spans="1:9" x14ac:dyDescent="0.2">
      <c r="A255" s="8" t="s">
        <v>29</v>
      </c>
      <c r="B255" t="str">
        <f>_xlfn.XLOOKUP(A255,province_lookup!$A:$A,province_lookup!$B:$B)</f>
        <v>North</v>
      </c>
      <c r="C255" s="2" t="s">
        <v>114</v>
      </c>
      <c r="D255" s="2" t="s">
        <v>50</v>
      </c>
      <c r="E255" s="2">
        <v>2025</v>
      </c>
      <c r="F255" s="10">
        <v>55415</v>
      </c>
      <c r="G255" s="10">
        <v>53954</v>
      </c>
      <c r="H255" s="10">
        <v>4850</v>
      </c>
      <c r="I255" s="5">
        <f t="shared" si="4"/>
        <v>87.521429215916271</v>
      </c>
    </row>
    <row r="256" spans="1:9" x14ac:dyDescent="0.2">
      <c r="A256" s="8" t="s">
        <v>59</v>
      </c>
      <c r="B256" t="str">
        <f>_xlfn.XLOOKUP(A256,province_lookup!$A:$A,province_lookup!$B:$B)</f>
        <v>North</v>
      </c>
      <c r="C256" s="2" t="s">
        <v>114</v>
      </c>
      <c r="D256" s="2" t="s">
        <v>50</v>
      </c>
      <c r="E256" s="2">
        <v>2025</v>
      </c>
      <c r="F256" s="10">
        <v>2065</v>
      </c>
      <c r="G256" s="10">
        <v>1950</v>
      </c>
      <c r="H256" s="10">
        <v>155</v>
      </c>
      <c r="I256" s="5">
        <f t="shared" si="4"/>
        <v>75.060532687651332</v>
      </c>
    </row>
    <row r="257" spans="1:9" x14ac:dyDescent="0.2">
      <c r="A257" s="8" t="s">
        <v>104</v>
      </c>
      <c r="B257" t="str">
        <f>_xlfn.XLOOKUP(A257,province_lookup!$A:$A,province_lookup!$B:$B)</f>
        <v>North</v>
      </c>
      <c r="C257" s="2" t="s">
        <v>114</v>
      </c>
      <c r="D257" s="2" t="s">
        <v>50</v>
      </c>
      <c r="E257" s="2">
        <v>2025</v>
      </c>
      <c r="F257" s="10">
        <v>7233</v>
      </c>
      <c r="G257" s="10">
        <v>5925</v>
      </c>
      <c r="H257" s="10">
        <v>517</v>
      </c>
      <c r="I257" s="5">
        <f t="shared" si="4"/>
        <v>71.477948292548049</v>
      </c>
    </row>
    <row r="258" spans="1:9" x14ac:dyDescent="0.2">
      <c r="A258" s="8" t="s">
        <v>7</v>
      </c>
      <c r="B258" t="str">
        <f>_xlfn.XLOOKUP(A258,province_lookup!$A:$A,province_lookup!$B:$B)</f>
        <v>North</v>
      </c>
      <c r="C258" s="2" t="s">
        <v>114</v>
      </c>
      <c r="D258" s="2" t="s">
        <v>50</v>
      </c>
      <c r="E258" s="2">
        <v>2025</v>
      </c>
      <c r="F258" s="10">
        <v>35615</v>
      </c>
      <c r="G258" s="10">
        <v>31111</v>
      </c>
      <c r="H258" s="10">
        <v>3203</v>
      </c>
      <c r="I258" s="5">
        <f t="shared" si="4"/>
        <v>89.934016566053629</v>
      </c>
    </row>
    <row r="259" spans="1:9" x14ac:dyDescent="0.2">
      <c r="A259" s="8" t="s">
        <v>42</v>
      </c>
      <c r="B259" t="str">
        <f>_xlfn.XLOOKUP(A259,province_lookup!$A:$A,province_lookup!$B:$B)</f>
        <v>North</v>
      </c>
      <c r="C259" s="2" t="s">
        <v>114</v>
      </c>
      <c r="D259" s="2" t="s">
        <v>50</v>
      </c>
      <c r="E259" s="2">
        <v>2025</v>
      </c>
      <c r="F259" s="10">
        <v>12747</v>
      </c>
      <c r="G259" s="10">
        <v>9011</v>
      </c>
      <c r="H259" s="10">
        <v>921</v>
      </c>
      <c r="I259" s="5">
        <f t="shared" si="4"/>
        <v>72.25229465756648</v>
      </c>
    </row>
    <row r="260" spans="1:9" x14ac:dyDescent="0.2">
      <c r="A260" s="8" t="s">
        <v>86</v>
      </c>
      <c r="B260" t="str">
        <f>_xlfn.XLOOKUP(A260,province_lookup!$A:$A,province_lookup!$B:$B)</f>
        <v>North</v>
      </c>
      <c r="C260" s="2" t="s">
        <v>114</v>
      </c>
      <c r="D260" s="2" t="s">
        <v>50</v>
      </c>
      <c r="E260" s="2">
        <v>2025</v>
      </c>
      <c r="F260" s="10">
        <v>5572</v>
      </c>
      <c r="G260" s="10">
        <v>4728</v>
      </c>
      <c r="H260" s="10">
        <v>396</v>
      </c>
      <c r="I260" s="5">
        <f t="shared" si="4"/>
        <v>71.069633883704242</v>
      </c>
    </row>
    <row r="261" spans="1:9" x14ac:dyDescent="0.2">
      <c r="A261" s="8" t="s">
        <v>83</v>
      </c>
      <c r="B261" t="str">
        <f>_xlfn.XLOOKUP(A261,province_lookup!$A:$A,province_lookup!$B:$B)</f>
        <v>North</v>
      </c>
      <c r="C261" s="2" t="s">
        <v>114</v>
      </c>
      <c r="D261" s="2" t="s">
        <v>50</v>
      </c>
      <c r="E261" s="2">
        <v>2025</v>
      </c>
      <c r="F261" s="10">
        <v>1505</v>
      </c>
      <c r="G261" s="10">
        <v>1200</v>
      </c>
      <c r="H261" s="10">
        <v>83</v>
      </c>
      <c r="I261" s="5">
        <f t="shared" si="4"/>
        <v>55.14950166112957</v>
      </c>
    </row>
    <row r="262" spans="1:9" x14ac:dyDescent="0.2">
      <c r="A262" s="8" t="s">
        <v>65</v>
      </c>
      <c r="B262" t="str">
        <f>_xlfn.XLOOKUP(A262,province_lookup!$A:$A,province_lookup!$B:$B)</f>
        <v>North</v>
      </c>
      <c r="C262" s="2" t="s">
        <v>114</v>
      </c>
      <c r="D262" s="2" t="s">
        <v>50</v>
      </c>
      <c r="E262" s="2">
        <v>2025</v>
      </c>
      <c r="F262" s="10">
        <v>2722</v>
      </c>
      <c r="G262" s="10">
        <v>2161</v>
      </c>
      <c r="H262" s="10">
        <v>152</v>
      </c>
      <c r="I262" s="5">
        <f t="shared" si="4"/>
        <v>55.841293166789129</v>
      </c>
    </row>
    <row r="263" spans="1:9" x14ac:dyDescent="0.2">
      <c r="A263" s="8" t="s">
        <v>50</v>
      </c>
      <c r="B263" t="str">
        <f>_xlfn.XLOOKUP(A263,province_lookup!$A:$A,province_lookup!$B:$B)</f>
        <v>North</v>
      </c>
      <c r="C263" s="2" t="s">
        <v>114</v>
      </c>
      <c r="D263" s="2" t="s">
        <v>50</v>
      </c>
      <c r="E263" s="2">
        <v>2025</v>
      </c>
      <c r="F263" s="10">
        <v>12677</v>
      </c>
      <c r="G263" s="10">
        <v>11099</v>
      </c>
      <c r="H263" s="10">
        <v>936</v>
      </c>
      <c r="I263" s="5">
        <f t="shared" si="4"/>
        <v>73.834503431411221</v>
      </c>
    </row>
    <row r="264" spans="1:9" x14ac:dyDescent="0.2">
      <c r="A264" s="8" t="s">
        <v>92</v>
      </c>
      <c r="B264" t="str">
        <f>_xlfn.XLOOKUP(A264,province_lookup!$A:$A,province_lookup!$B:$B)</f>
        <v>North</v>
      </c>
      <c r="C264" s="2" t="s">
        <v>114</v>
      </c>
      <c r="D264" s="2" t="s">
        <v>50</v>
      </c>
      <c r="E264" s="2">
        <v>2025</v>
      </c>
      <c r="F264" s="10">
        <v>1886</v>
      </c>
      <c r="G264" s="10">
        <v>1850</v>
      </c>
      <c r="H264" s="10">
        <v>94</v>
      </c>
      <c r="I264" s="5">
        <f t="shared" si="4"/>
        <v>49.840933191940614</v>
      </c>
    </row>
    <row r="265" spans="1:9" x14ac:dyDescent="0.2">
      <c r="A265" s="8" t="s">
        <v>63</v>
      </c>
      <c r="B265" t="str">
        <f>_xlfn.XLOOKUP(A265,province_lookup!$A:$A,province_lookup!$B:$B)</f>
        <v>North</v>
      </c>
      <c r="C265" s="2" t="s">
        <v>114</v>
      </c>
      <c r="D265" s="2" t="s">
        <v>50</v>
      </c>
      <c r="E265" s="2">
        <v>2025</v>
      </c>
      <c r="F265" s="10">
        <v>473</v>
      </c>
      <c r="G265" s="10">
        <v>463</v>
      </c>
      <c r="H265" s="10">
        <v>27</v>
      </c>
      <c r="I265" s="5">
        <f t="shared" si="4"/>
        <v>57.082452431289639</v>
      </c>
    </row>
    <row r="266" spans="1:9" x14ac:dyDescent="0.2">
      <c r="A266" s="8" t="s">
        <v>60</v>
      </c>
      <c r="B266" t="str">
        <f>_xlfn.XLOOKUP(A266,province_lookup!$A:$A,province_lookup!$B:$B)</f>
        <v>Central</v>
      </c>
      <c r="C266" s="2" t="s">
        <v>114</v>
      </c>
      <c r="D266" s="2" t="s">
        <v>50</v>
      </c>
      <c r="E266" s="2">
        <v>2025</v>
      </c>
      <c r="F266" s="10">
        <v>664</v>
      </c>
      <c r="G266" s="10">
        <v>529</v>
      </c>
      <c r="H266" s="10">
        <v>56</v>
      </c>
      <c r="I266" s="5">
        <f t="shared" si="4"/>
        <v>84.337349397590359</v>
      </c>
    </row>
    <row r="267" spans="1:9" x14ac:dyDescent="0.2">
      <c r="A267" s="8" t="s">
        <v>40</v>
      </c>
      <c r="B267" t="str">
        <f>_xlfn.XLOOKUP(A267,province_lookup!$A:$A,province_lookup!$B:$B)</f>
        <v>Northeast</v>
      </c>
      <c r="C267" s="2" t="s">
        <v>114</v>
      </c>
      <c r="D267" s="2" t="s">
        <v>50</v>
      </c>
      <c r="E267" s="2">
        <v>2025</v>
      </c>
      <c r="F267" s="10">
        <v>3223</v>
      </c>
      <c r="G267" s="10">
        <v>2806</v>
      </c>
      <c r="H267" s="10">
        <v>195</v>
      </c>
      <c r="I267" s="5">
        <f t="shared" si="4"/>
        <v>60.502637294446167</v>
      </c>
    </row>
    <row r="268" spans="1:9" x14ac:dyDescent="0.2">
      <c r="A268" s="8" t="s">
        <v>100</v>
      </c>
      <c r="B268" t="str">
        <f>_xlfn.XLOOKUP(A268,province_lookup!$A:$A,province_lookup!$B:$B)</f>
        <v>Northeast</v>
      </c>
      <c r="C268" s="2" t="s">
        <v>114</v>
      </c>
      <c r="D268" s="2" t="s">
        <v>50</v>
      </c>
      <c r="E268" s="2">
        <v>2025</v>
      </c>
      <c r="F268" s="10">
        <v>14</v>
      </c>
      <c r="G268" s="10">
        <v>14</v>
      </c>
      <c r="H268" s="10">
        <v>0.27</v>
      </c>
      <c r="I268" s="5">
        <f t="shared" si="4"/>
        <v>19.285714285714285</v>
      </c>
    </row>
    <row r="269" spans="1:9" x14ac:dyDescent="0.2">
      <c r="A269" s="8" t="s">
        <v>90</v>
      </c>
      <c r="B269" t="str">
        <f>_xlfn.XLOOKUP(A269,province_lookup!$A:$A,province_lookup!$B:$B)</f>
        <v>Northeast</v>
      </c>
      <c r="C269" s="2" t="s">
        <v>114</v>
      </c>
      <c r="D269" s="2" t="s">
        <v>50</v>
      </c>
      <c r="E269" s="2">
        <v>2025</v>
      </c>
      <c r="F269" s="10">
        <v>216</v>
      </c>
      <c r="G269" s="10">
        <v>204</v>
      </c>
      <c r="H269" s="10">
        <v>4.5599999999999996</v>
      </c>
      <c r="I269" s="5">
        <f t="shared" si="4"/>
        <v>21.111111111111111</v>
      </c>
    </row>
    <row r="270" spans="1:9" x14ac:dyDescent="0.2">
      <c r="A270" s="8" t="s">
        <v>53</v>
      </c>
      <c r="B270" t="str">
        <f>_xlfn.XLOOKUP(A270,province_lookup!$A:$A,province_lookup!$B:$B)</f>
        <v>Northeast</v>
      </c>
      <c r="C270" s="2" t="s">
        <v>114</v>
      </c>
      <c r="D270" s="2" t="s">
        <v>50</v>
      </c>
      <c r="E270" s="2">
        <v>2025</v>
      </c>
      <c r="F270" s="10">
        <v>252</v>
      </c>
      <c r="G270" s="10">
        <v>247</v>
      </c>
      <c r="H270" s="10">
        <v>11</v>
      </c>
      <c r="I270" s="5">
        <f t="shared" si="4"/>
        <v>43.650793650793652</v>
      </c>
    </row>
    <row r="271" spans="1:9" x14ac:dyDescent="0.2">
      <c r="A271" s="8" t="s">
        <v>27</v>
      </c>
      <c r="B271" t="str">
        <f>_xlfn.XLOOKUP(A271,province_lookup!$A:$A,province_lookup!$B:$B)</f>
        <v>Northeast</v>
      </c>
      <c r="C271" s="2" t="s">
        <v>114</v>
      </c>
      <c r="D271" s="2" t="s">
        <v>50</v>
      </c>
      <c r="E271" s="2">
        <v>2025</v>
      </c>
      <c r="F271" s="10">
        <v>380</v>
      </c>
      <c r="G271" s="10">
        <v>240</v>
      </c>
      <c r="H271" s="10">
        <v>10</v>
      </c>
      <c r="I271" s="5">
        <f t="shared" si="4"/>
        <v>26.315789473684209</v>
      </c>
    </row>
    <row r="272" spans="1:9" x14ac:dyDescent="0.2">
      <c r="A272" s="8" t="s">
        <v>10</v>
      </c>
      <c r="B272" t="str">
        <f>_xlfn.XLOOKUP(A272,province_lookup!$A:$A,province_lookup!$B:$B)</f>
        <v>Northeast</v>
      </c>
      <c r="C272" s="2" t="s">
        <v>114</v>
      </c>
      <c r="D272" s="2" t="s">
        <v>50</v>
      </c>
      <c r="E272" s="2">
        <v>2025</v>
      </c>
      <c r="F272" s="10">
        <v>484</v>
      </c>
      <c r="G272" s="10">
        <v>183</v>
      </c>
      <c r="H272" s="10">
        <v>8.69</v>
      </c>
      <c r="I272" s="5">
        <f t="shared" si="4"/>
        <v>17.954545454545453</v>
      </c>
    </row>
    <row r="273" spans="1:9" x14ac:dyDescent="0.2">
      <c r="A273" s="8" t="s">
        <v>24</v>
      </c>
      <c r="B273" t="str">
        <f>_xlfn.XLOOKUP(A273,province_lookup!$A:$A,province_lookup!$B:$B)</f>
        <v>East</v>
      </c>
      <c r="C273" s="2" t="s">
        <v>114</v>
      </c>
      <c r="D273" s="2" t="s">
        <v>50</v>
      </c>
      <c r="E273" s="2">
        <v>2025</v>
      </c>
      <c r="F273" s="10">
        <v>54</v>
      </c>
      <c r="G273" s="10">
        <v>39</v>
      </c>
      <c r="H273" s="10">
        <v>0.53</v>
      </c>
      <c r="I273" s="5">
        <f t="shared" si="4"/>
        <v>9.8148148148148149</v>
      </c>
    </row>
    <row r="274" spans="1:9" x14ac:dyDescent="0.2">
      <c r="A274" s="8" t="s">
        <v>28</v>
      </c>
      <c r="B274" t="str">
        <f>_xlfn.XLOOKUP(A274,province_lookup!$A:$A,province_lookup!$B:$B)</f>
        <v>East</v>
      </c>
      <c r="C274" s="2" t="s">
        <v>114</v>
      </c>
      <c r="D274" s="2" t="s">
        <v>50</v>
      </c>
      <c r="E274" s="2">
        <v>2025</v>
      </c>
      <c r="F274" s="10">
        <v>189</v>
      </c>
      <c r="G274" s="10">
        <v>137</v>
      </c>
      <c r="H274" s="10">
        <v>3.53</v>
      </c>
      <c r="I274" s="5">
        <f t="shared" si="4"/>
        <v>18.677248677248677</v>
      </c>
    </row>
    <row r="275" spans="1:9" x14ac:dyDescent="0.2">
      <c r="A275" s="8" t="s">
        <v>88</v>
      </c>
      <c r="B275" t="str">
        <f>_xlfn.XLOOKUP(A275,province_lookup!$A:$A,province_lookup!$B:$B)</f>
        <v>East</v>
      </c>
      <c r="C275" s="2" t="s">
        <v>114</v>
      </c>
      <c r="D275" s="2" t="s">
        <v>50</v>
      </c>
      <c r="E275" s="2">
        <v>2025</v>
      </c>
      <c r="F275" s="10">
        <v>62</v>
      </c>
      <c r="G275" s="10">
        <v>57</v>
      </c>
      <c r="H275" s="10">
        <v>3.3</v>
      </c>
      <c r="I275" s="5">
        <f t="shared" si="4"/>
        <v>53.225806451612904</v>
      </c>
    </row>
    <row r="276" spans="1:9" x14ac:dyDescent="0.2">
      <c r="A276" s="8" t="s">
        <v>71</v>
      </c>
      <c r="B276" t="str">
        <f>_xlfn.XLOOKUP(A276,province_lookup!$A:$A,province_lookup!$B:$B)</f>
        <v>East</v>
      </c>
      <c r="C276" s="2" t="s">
        <v>114</v>
      </c>
      <c r="D276" s="2" t="s">
        <v>50</v>
      </c>
      <c r="E276" s="2">
        <v>2025</v>
      </c>
      <c r="F276" s="10">
        <v>77</v>
      </c>
      <c r="G276" s="10">
        <v>61</v>
      </c>
      <c r="H276" s="10">
        <v>2</v>
      </c>
      <c r="I276" s="5">
        <f t="shared" si="4"/>
        <v>25.974025974025974</v>
      </c>
    </row>
    <row r="277" spans="1:9" x14ac:dyDescent="0.2">
      <c r="A277" s="8" t="s">
        <v>98</v>
      </c>
      <c r="B277" t="str">
        <f>_xlfn.XLOOKUP(A277,province_lookup!$A:$A,province_lookup!$B:$B)</f>
        <v>East</v>
      </c>
      <c r="C277" s="2" t="s">
        <v>114</v>
      </c>
      <c r="D277" s="2" t="s">
        <v>50</v>
      </c>
      <c r="E277" s="2">
        <v>2025</v>
      </c>
      <c r="F277" s="10">
        <v>18</v>
      </c>
      <c r="G277" s="10">
        <v>18</v>
      </c>
      <c r="H277" s="10">
        <v>0</v>
      </c>
      <c r="I277" s="5">
        <f t="shared" si="4"/>
        <v>0</v>
      </c>
    </row>
    <row r="278" spans="1:9" x14ac:dyDescent="0.2">
      <c r="A278" s="8" t="s">
        <v>35</v>
      </c>
      <c r="B278" t="str">
        <f>_xlfn.XLOOKUP(A278,province_lookup!$A:$A,province_lookup!$B:$B)</f>
        <v>West</v>
      </c>
      <c r="C278" s="2" t="s">
        <v>114</v>
      </c>
      <c r="D278" s="2" t="s">
        <v>50</v>
      </c>
      <c r="E278" s="2">
        <v>2025</v>
      </c>
      <c r="F278" s="10">
        <v>1904</v>
      </c>
      <c r="G278" s="10">
        <v>1507</v>
      </c>
      <c r="H278" s="10">
        <v>123</v>
      </c>
      <c r="I278" s="5">
        <f t="shared" si="4"/>
        <v>64.600840336134453</v>
      </c>
    </row>
    <row r="279" spans="1:9" x14ac:dyDescent="0.2">
      <c r="A279" s="8" t="s">
        <v>70</v>
      </c>
      <c r="B279" t="str">
        <f>_xlfn.XLOOKUP(A279,province_lookup!$A:$A,province_lookup!$B:$B)</f>
        <v>West</v>
      </c>
      <c r="C279" s="2" t="s">
        <v>114</v>
      </c>
      <c r="D279" s="2" t="s">
        <v>50</v>
      </c>
      <c r="E279" s="2">
        <v>2025</v>
      </c>
      <c r="F279" s="10">
        <v>701</v>
      </c>
      <c r="G279" s="10">
        <v>376</v>
      </c>
      <c r="H279" s="10">
        <v>13</v>
      </c>
      <c r="I279" s="5">
        <f t="shared" si="4"/>
        <v>18.54493580599144</v>
      </c>
    </row>
    <row r="280" spans="1:9" x14ac:dyDescent="0.2">
      <c r="A280" s="8" t="s">
        <v>68</v>
      </c>
      <c r="B280" t="str">
        <f>_xlfn.XLOOKUP(A280,province_lookup!$A:$A,province_lookup!$B:$B)</f>
        <v>West</v>
      </c>
      <c r="C280" s="2" t="s">
        <v>114</v>
      </c>
      <c r="D280" s="2" t="s">
        <v>50</v>
      </c>
      <c r="E280" s="2">
        <v>2025</v>
      </c>
      <c r="F280" s="10">
        <v>6252</v>
      </c>
      <c r="G280" s="10">
        <v>5844</v>
      </c>
      <c r="H280" s="10">
        <v>671</v>
      </c>
      <c r="I280" s="5">
        <f t="shared" si="4"/>
        <v>107.32565579014715</v>
      </c>
    </row>
    <row r="281" spans="1:9" x14ac:dyDescent="0.2">
      <c r="A281" s="8" t="s">
        <v>31</v>
      </c>
      <c r="B281" t="str">
        <f>_xlfn.XLOOKUP(A281,province_lookup!$A:$A,province_lookup!$B:$B)</f>
        <v>South</v>
      </c>
      <c r="C281" s="2" t="s">
        <v>114</v>
      </c>
      <c r="D281" s="2" t="s">
        <v>50</v>
      </c>
      <c r="E281" s="2">
        <v>2025</v>
      </c>
      <c r="F281" s="10">
        <v>34114</v>
      </c>
      <c r="G281" s="10">
        <v>32093</v>
      </c>
      <c r="H281" s="10">
        <v>2442</v>
      </c>
      <c r="I281" s="5">
        <f t="shared" ref="I281:I344" si="5">H281*1000/F281</f>
        <v>71.583514099783073</v>
      </c>
    </row>
    <row r="282" spans="1:9" x14ac:dyDescent="0.2">
      <c r="A282" s="8" t="s">
        <v>69</v>
      </c>
      <c r="B282" t="str">
        <f>_xlfn.XLOOKUP(A282,province_lookup!$A:$A,province_lookup!$B:$B)</f>
        <v>South</v>
      </c>
      <c r="C282" s="2" t="s">
        <v>114</v>
      </c>
      <c r="D282" s="2" t="s">
        <v>50</v>
      </c>
      <c r="E282" s="2">
        <v>2025</v>
      </c>
      <c r="F282" s="10">
        <v>12865</v>
      </c>
      <c r="G282" s="10">
        <v>11157</v>
      </c>
      <c r="H282" s="10">
        <v>638</v>
      </c>
      <c r="I282" s="5">
        <f t="shared" si="5"/>
        <v>49.591916051301979</v>
      </c>
    </row>
    <row r="283" spans="1:9" x14ac:dyDescent="0.2">
      <c r="A283" s="8" t="s">
        <v>84</v>
      </c>
      <c r="B283" t="str">
        <f>_xlfn.XLOOKUP(A283,province_lookup!$A:$A,province_lookup!$B:$B)</f>
        <v>South</v>
      </c>
      <c r="C283" s="2" t="s">
        <v>114</v>
      </c>
      <c r="D283" s="2" t="s">
        <v>50</v>
      </c>
      <c r="E283" s="2">
        <v>2025</v>
      </c>
      <c r="F283" s="10">
        <v>2543</v>
      </c>
      <c r="G283" s="10">
        <v>2383</v>
      </c>
      <c r="H283" s="10">
        <v>193</v>
      </c>
      <c r="I283" s="5">
        <f t="shared" si="5"/>
        <v>75.894612662209994</v>
      </c>
    </row>
    <row r="284" spans="1:9" x14ac:dyDescent="0.2">
      <c r="A284" s="8" t="s">
        <v>101</v>
      </c>
      <c r="B284" t="str">
        <f>_xlfn.XLOOKUP(A284,province_lookup!$A:$A,province_lookup!$B:$B)</f>
        <v>South</v>
      </c>
      <c r="C284" s="2" t="s">
        <v>114</v>
      </c>
      <c r="D284" s="2" t="s">
        <v>50</v>
      </c>
      <c r="E284" s="2">
        <v>2025</v>
      </c>
      <c r="F284" s="10">
        <v>597</v>
      </c>
      <c r="G284" s="10">
        <v>561</v>
      </c>
      <c r="H284" s="10">
        <v>30</v>
      </c>
      <c r="I284" s="5">
        <f t="shared" si="5"/>
        <v>50.251256281407038</v>
      </c>
    </row>
    <row r="285" spans="1:9" x14ac:dyDescent="0.2">
      <c r="A285" s="8" t="s">
        <v>66</v>
      </c>
      <c r="B285" t="str">
        <f>_xlfn.XLOOKUP(A285,province_lookup!$A:$A,province_lookup!$B:$B)</f>
        <v>South</v>
      </c>
      <c r="C285" s="2" t="s">
        <v>114</v>
      </c>
      <c r="D285" s="2" t="s">
        <v>50</v>
      </c>
      <c r="E285" s="2">
        <v>2025</v>
      </c>
      <c r="F285" s="10">
        <v>45</v>
      </c>
      <c r="G285" s="10">
        <v>43</v>
      </c>
      <c r="H285" s="10">
        <v>3</v>
      </c>
      <c r="I285" s="5">
        <f t="shared" si="5"/>
        <v>66.666666666666671</v>
      </c>
    </row>
    <row r="286" spans="1:9" x14ac:dyDescent="0.2">
      <c r="A286" s="8" t="s">
        <v>38</v>
      </c>
      <c r="B286" t="str">
        <f>_xlfn.XLOOKUP(A286,province_lookup!$A:$A,province_lookup!$B:$B)</f>
        <v>South</v>
      </c>
      <c r="C286" s="2" t="s">
        <v>114</v>
      </c>
      <c r="D286" s="2" t="s">
        <v>50</v>
      </c>
      <c r="E286" s="2">
        <v>2025</v>
      </c>
      <c r="F286" s="10">
        <v>1479</v>
      </c>
      <c r="G286" s="10">
        <v>1259</v>
      </c>
      <c r="H286" s="10">
        <v>119</v>
      </c>
      <c r="I286" s="5">
        <f t="shared" si="5"/>
        <v>80.459770114942529</v>
      </c>
    </row>
    <row r="287" spans="1:9" x14ac:dyDescent="0.2">
      <c r="A287" s="8" t="s">
        <v>87</v>
      </c>
      <c r="B287" t="str">
        <f>_xlfn.XLOOKUP(A287,province_lookup!$A:$A,province_lookup!$B:$B)</f>
        <v>South</v>
      </c>
      <c r="C287" s="2" t="s">
        <v>114</v>
      </c>
      <c r="D287" s="2" t="s">
        <v>50</v>
      </c>
      <c r="E287" s="2">
        <v>2025</v>
      </c>
      <c r="F287" s="10">
        <v>1149</v>
      </c>
      <c r="G287" s="10">
        <v>1027</v>
      </c>
      <c r="H287" s="10">
        <v>47</v>
      </c>
      <c r="I287" s="5">
        <f t="shared" si="5"/>
        <v>40.905134899912966</v>
      </c>
    </row>
    <row r="288" spans="1:9" x14ac:dyDescent="0.2">
      <c r="A288" s="8" t="s">
        <v>49</v>
      </c>
      <c r="B288" t="str">
        <f>_xlfn.XLOOKUP(A288,province_lookup!$A:$A,province_lookup!$B:$B)</f>
        <v>South</v>
      </c>
      <c r="C288" s="2" t="s">
        <v>114</v>
      </c>
      <c r="D288" s="2" t="s">
        <v>50</v>
      </c>
      <c r="E288" s="2">
        <v>2025</v>
      </c>
      <c r="F288" s="10">
        <v>1088</v>
      </c>
      <c r="G288" s="10">
        <v>966</v>
      </c>
      <c r="H288" s="10">
        <v>58</v>
      </c>
      <c r="I288" s="5">
        <f t="shared" si="5"/>
        <v>53.308823529411768</v>
      </c>
    </row>
    <row r="289" spans="1:9" x14ac:dyDescent="0.2">
      <c r="A289" s="8" t="s">
        <v>58</v>
      </c>
      <c r="B289" t="str">
        <f>_xlfn.XLOOKUP(A289,province_lookup!$A:$A,province_lookup!$B:$B)</f>
        <v>South</v>
      </c>
      <c r="C289" s="2" t="s">
        <v>114</v>
      </c>
      <c r="D289" s="2" t="s">
        <v>50</v>
      </c>
      <c r="E289" s="2">
        <v>2025</v>
      </c>
      <c r="F289" s="10">
        <v>163</v>
      </c>
      <c r="G289" s="10">
        <v>137</v>
      </c>
      <c r="H289" s="10">
        <v>4</v>
      </c>
      <c r="I289" s="5">
        <f t="shared" si="5"/>
        <v>24.539877300613497</v>
      </c>
    </row>
    <row r="290" spans="1:9" x14ac:dyDescent="0.2">
      <c r="A290" s="8" t="s">
        <v>82</v>
      </c>
      <c r="B290" t="str">
        <f>_xlfn.XLOOKUP(A290,province_lookup!$A:$A,province_lookup!$B:$B)</f>
        <v>South</v>
      </c>
      <c r="C290" s="2" t="s">
        <v>114</v>
      </c>
      <c r="D290" s="2" t="s">
        <v>50</v>
      </c>
      <c r="E290" s="2">
        <v>2025</v>
      </c>
      <c r="F290" s="10">
        <v>959</v>
      </c>
      <c r="G290" s="10">
        <v>923</v>
      </c>
      <c r="H290" s="10">
        <v>28</v>
      </c>
      <c r="I290" s="5">
        <f t="shared" si="5"/>
        <v>29.197080291970803</v>
      </c>
    </row>
    <row r="291" spans="1:9" x14ac:dyDescent="0.2">
      <c r="A291" s="8" t="s">
        <v>79</v>
      </c>
      <c r="B291" t="str">
        <f>_xlfn.XLOOKUP(A291,province_lookup!$A:$A,province_lookup!$B:$B)</f>
        <v>South</v>
      </c>
      <c r="C291" s="2" t="s">
        <v>114</v>
      </c>
      <c r="D291" s="2" t="s">
        <v>50</v>
      </c>
      <c r="E291" s="2">
        <v>2025</v>
      </c>
      <c r="F291" s="10">
        <v>408</v>
      </c>
      <c r="G291" s="10">
        <v>368</v>
      </c>
      <c r="H291" s="10">
        <v>21</v>
      </c>
      <c r="I291" s="5">
        <f t="shared" si="5"/>
        <v>51.470588235294116</v>
      </c>
    </row>
    <row r="292" spans="1:9" x14ac:dyDescent="0.2">
      <c r="A292" s="8" t="s">
        <v>93</v>
      </c>
      <c r="B292" t="str">
        <f>_xlfn.XLOOKUP(A292,province_lookup!$A:$A,province_lookup!$B:$B)</f>
        <v>South</v>
      </c>
      <c r="C292" s="2" t="s">
        <v>114</v>
      </c>
      <c r="D292" s="2" t="s">
        <v>50</v>
      </c>
      <c r="E292" s="2">
        <v>2025</v>
      </c>
      <c r="F292" s="10">
        <v>550</v>
      </c>
      <c r="G292" s="10">
        <v>497</v>
      </c>
      <c r="H292" s="10">
        <v>12</v>
      </c>
      <c r="I292" s="5">
        <f t="shared" si="5"/>
        <v>21.818181818181817</v>
      </c>
    </row>
    <row r="293" spans="1:9" x14ac:dyDescent="0.2">
      <c r="A293" s="8" t="s">
        <v>29</v>
      </c>
      <c r="B293" t="str">
        <f>_xlfn.XLOOKUP(A293,province_lookup!$A:$A,province_lookup!$B:$B)</f>
        <v>North</v>
      </c>
      <c r="C293" s="2" t="s">
        <v>115</v>
      </c>
      <c r="D293" s="2" t="s">
        <v>113</v>
      </c>
      <c r="E293" s="2">
        <v>2024</v>
      </c>
      <c r="F293" s="9">
        <v>26498</v>
      </c>
      <c r="G293" s="9">
        <v>25202</v>
      </c>
      <c r="H293" s="9">
        <v>68222</v>
      </c>
      <c r="I293" s="5">
        <f t="shared" si="5"/>
        <v>2574.6094044833571</v>
      </c>
    </row>
    <row r="294" spans="1:9" x14ac:dyDescent="0.2">
      <c r="A294" s="8" t="s">
        <v>59</v>
      </c>
      <c r="B294" t="str">
        <f>_xlfn.XLOOKUP(A294,province_lookup!$A:$A,province_lookup!$B:$B)</f>
        <v>North</v>
      </c>
      <c r="C294" s="2" t="s">
        <v>115</v>
      </c>
      <c r="D294" s="2" t="s">
        <v>113</v>
      </c>
      <c r="E294" s="2">
        <v>2024</v>
      </c>
      <c r="F294" s="9">
        <v>1608</v>
      </c>
      <c r="G294" s="9">
        <v>1566</v>
      </c>
      <c r="H294" s="9">
        <v>3375</v>
      </c>
      <c r="I294" s="5">
        <f t="shared" si="5"/>
        <v>2098.8805970149256</v>
      </c>
    </row>
    <row r="295" spans="1:9" x14ac:dyDescent="0.2">
      <c r="A295" s="8" t="s">
        <v>104</v>
      </c>
      <c r="B295" t="str">
        <f>_xlfn.XLOOKUP(A295,province_lookup!$A:$A,province_lookup!$B:$B)</f>
        <v>North</v>
      </c>
      <c r="C295" s="2" t="s">
        <v>115</v>
      </c>
      <c r="D295" s="2" t="s">
        <v>113</v>
      </c>
      <c r="E295" s="2">
        <v>2024</v>
      </c>
      <c r="F295" s="9">
        <v>15130</v>
      </c>
      <c r="G295" s="9">
        <v>14769</v>
      </c>
      <c r="H295" s="9">
        <v>41132</v>
      </c>
      <c r="I295" s="5">
        <f t="shared" si="5"/>
        <v>2718.5723727693326</v>
      </c>
    </row>
    <row r="296" spans="1:9" x14ac:dyDescent="0.2">
      <c r="A296" s="8" t="s">
        <v>39</v>
      </c>
      <c r="B296" t="str">
        <f>_xlfn.XLOOKUP(A296,province_lookup!$A:$A,province_lookup!$B:$B)</f>
        <v>North</v>
      </c>
      <c r="C296" s="2" t="s">
        <v>115</v>
      </c>
      <c r="D296" s="2" t="s">
        <v>113</v>
      </c>
      <c r="E296" s="2">
        <v>2024</v>
      </c>
      <c r="F296" s="9">
        <v>827</v>
      </c>
      <c r="G296" s="9">
        <v>789</v>
      </c>
      <c r="H296" s="9">
        <v>1573</v>
      </c>
      <c r="I296" s="5">
        <f t="shared" si="5"/>
        <v>1902.0556227327691</v>
      </c>
    </row>
    <row r="297" spans="1:9" x14ac:dyDescent="0.2">
      <c r="A297" s="8" t="s">
        <v>7</v>
      </c>
      <c r="B297" t="str">
        <f>_xlfn.XLOOKUP(A297,province_lookup!$A:$A,province_lookup!$B:$B)</f>
        <v>North</v>
      </c>
      <c r="C297" s="2" t="s">
        <v>115</v>
      </c>
      <c r="D297" s="2" t="s">
        <v>113</v>
      </c>
      <c r="E297" s="2">
        <v>2024</v>
      </c>
      <c r="F297" s="9">
        <v>34392</v>
      </c>
      <c r="G297" s="9">
        <v>32225</v>
      </c>
      <c r="H297" s="9">
        <v>84494</v>
      </c>
      <c r="I297" s="5">
        <f t="shared" si="5"/>
        <v>2456.7922772737847</v>
      </c>
    </row>
    <row r="298" spans="1:9" x14ac:dyDescent="0.2">
      <c r="A298" s="8" t="s">
        <v>42</v>
      </c>
      <c r="B298" t="str">
        <f>_xlfn.XLOOKUP(A298,province_lookup!$A:$A,province_lookup!$B:$B)</f>
        <v>North</v>
      </c>
      <c r="C298" s="2" t="s">
        <v>115</v>
      </c>
      <c r="D298" s="2" t="s">
        <v>113</v>
      </c>
      <c r="E298" s="2">
        <v>2024</v>
      </c>
      <c r="F298" s="9">
        <v>3323</v>
      </c>
      <c r="G298" s="9">
        <v>3276</v>
      </c>
      <c r="H298" s="9">
        <v>6971</v>
      </c>
      <c r="I298" s="5">
        <f t="shared" si="5"/>
        <v>2097.8031898886547</v>
      </c>
    </row>
    <row r="299" spans="1:9" x14ac:dyDescent="0.2">
      <c r="A299" s="8" t="s">
        <v>86</v>
      </c>
      <c r="B299" t="str">
        <f>_xlfn.XLOOKUP(A299,province_lookup!$A:$A,province_lookup!$B:$B)</f>
        <v>North</v>
      </c>
      <c r="C299" s="2" t="s">
        <v>115</v>
      </c>
      <c r="D299" s="2" t="s">
        <v>113</v>
      </c>
      <c r="E299" s="2">
        <v>2024</v>
      </c>
      <c r="F299" s="9">
        <v>2697</v>
      </c>
      <c r="G299" s="9">
        <v>2655</v>
      </c>
      <c r="H299" s="9">
        <v>6396</v>
      </c>
      <c r="I299" s="5">
        <f t="shared" si="5"/>
        <v>2371.5239154616238</v>
      </c>
    </row>
    <row r="300" spans="1:9" x14ac:dyDescent="0.2">
      <c r="A300" s="8" t="s">
        <v>34</v>
      </c>
      <c r="B300" t="str">
        <f>_xlfn.XLOOKUP(A300,province_lookup!$A:$A,province_lookup!$B:$B)</f>
        <v>North</v>
      </c>
      <c r="C300" s="2" t="s">
        <v>115</v>
      </c>
      <c r="D300" s="2" t="s">
        <v>113</v>
      </c>
      <c r="E300" s="2">
        <v>2024</v>
      </c>
      <c r="F300" s="9">
        <v>108</v>
      </c>
      <c r="G300" s="9">
        <v>94</v>
      </c>
      <c r="H300" s="9">
        <v>178</v>
      </c>
      <c r="I300" s="5">
        <f t="shared" si="5"/>
        <v>1648.148148148148</v>
      </c>
    </row>
    <row r="301" spans="1:9" x14ac:dyDescent="0.2">
      <c r="A301" s="8" t="s">
        <v>83</v>
      </c>
      <c r="B301" t="str">
        <f>_xlfn.XLOOKUP(A301,province_lookup!$A:$A,province_lookup!$B:$B)</f>
        <v>North</v>
      </c>
      <c r="C301" s="2" t="s">
        <v>115</v>
      </c>
      <c r="D301" s="2" t="s">
        <v>113</v>
      </c>
      <c r="E301" s="2">
        <v>2024</v>
      </c>
      <c r="F301" s="9">
        <v>17341</v>
      </c>
      <c r="G301" s="9">
        <v>16543</v>
      </c>
      <c r="H301" s="9">
        <v>47445</v>
      </c>
      <c r="I301" s="5">
        <f t="shared" si="5"/>
        <v>2736.0013840032293</v>
      </c>
    </row>
    <row r="302" spans="1:9" x14ac:dyDescent="0.2">
      <c r="A302" s="8" t="s">
        <v>50</v>
      </c>
      <c r="B302" t="str">
        <f>_xlfn.XLOOKUP(A302,province_lookup!$A:$A,province_lookup!$B:$B)</f>
        <v>North</v>
      </c>
      <c r="C302" s="2" t="s">
        <v>115</v>
      </c>
      <c r="D302" s="2" t="s">
        <v>113</v>
      </c>
      <c r="E302" s="2">
        <v>2024</v>
      </c>
      <c r="F302" s="9">
        <v>3345</v>
      </c>
      <c r="G302" s="9">
        <v>3213</v>
      </c>
      <c r="H302" s="9">
        <v>7445</v>
      </c>
      <c r="I302" s="5">
        <f t="shared" si="5"/>
        <v>2225.7100149476832</v>
      </c>
    </row>
    <row r="303" spans="1:9" x14ac:dyDescent="0.2">
      <c r="A303" s="8" t="s">
        <v>92</v>
      </c>
      <c r="B303" t="str">
        <f>_xlfn.XLOOKUP(A303,province_lookup!$A:$A,province_lookup!$B:$B)</f>
        <v>North</v>
      </c>
      <c r="C303" s="2" t="s">
        <v>115</v>
      </c>
      <c r="D303" s="2" t="s">
        <v>113</v>
      </c>
      <c r="E303" s="2">
        <v>2024</v>
      </c>
      <c r="F303" s="9">
        <v>3301</v>
      </c>
      <c r="G303" s="9">
        <v>3216</v>
      </c>
      <c r="H303" s="9">
        <v>6567</v>
      </c>
      <c r="I303" s="5">
        <f t="shared" si="5"/>
        <v>1989.3971523780672</v>
      </c>
    </row>
    <row r="304" spans="1:9" x14ac:dyDescent="0.2">
      <c r="A304" s="8" t="s">
        <v>63</v>
      </c>
      <c r="B304" t="str">
        <f>_xlfn.XLOOKUP(A304,province_lookup!$A:$A,province_lookup!$B:$B)</f>
        <v>North</v>
      </c>
      <c r="C304" s="2" t="s">
        <v>115</v>
      </c>
      <c r="D304" s="2" t="s">
        <v>113</v>
      </c>
      <c r="E304" s="2">
        <v>2024</v>
      </c>
      <c r="F304" s="9">
        <v>1337</v>
      </c>
      <c r="G304" s="9">
        <v>1215</v>
      </c>
      <c r="H304" s="9">
        <v>2302</v>
      </c>
      <c r="I304" s="5">
        <f t="shared" si="5"/>
        <v>1721.7651458489154</v>
      </c>
    </row>
    <row r="305" spans="1:9" x14ac:dyDescent="0.2">
      <c r="A305" s="8" t="s">
        <v>62</v>
      </c>
      <c r="B305" t="str">
        <f>_xlfn.XLOOKUP(A305,province_lookup!$A:$A,province_lookup!$B:$B)</f>
        <v>Central</v>
      </c>
      <c r="C305" s="2" t="s">
        <v>115</v>
      </c>
      <c r="D305" s="2" t="s">
        <v>113</v>
      </c>
      <c r="E305" s="2">
        <v>2024</v>
      </c>
      <c r="F305" s="9">
        <v>590</v>
      </c>
      <c r="G305" s="9">
        <v>582</v>
      </c>
      <c r="H305" s="9">
        <v>1110</v>
      </c>
      <c r="I305" s="5">
        <f t="shared" si="5"/>
        <v>1881.3559322033898</v>
      </c>
    </row>
    <row r="306" spans="1:9" x14ac:dyDescent="0.2">
      <c r="A306" s="8" t="s">
        <v>48</v>
      </c>
      <c r="B306" t="str">
        <f>_xlfn.XLOOKUP(A306,province_lookup!$A:$A,province_lookup!$B:$B)</f>
        <v>Central</v>
      </c>
      <c r="C306" s="2" t="s">
        <v>115</v>
      </c>
      <c r="D306" s="2" t="s">
        <v>113</v>
      </c>
      <c r="E306" s="2">
        <v>2024</v>
      </c>
      <c r="F306" s="9">
        <v>9907</v>
      </c>
      <c r="G306" s="9">
        <v>9476</v>
      </c>
      <c r="H306" s="9">
        <v>24145</v>
      </c>
      <c r="I306" s="5">
        <f t="shared" si="5"/>
        <v>2437.1656404562432</v>
      </c>
    </row>
    <row r="307" spans="1:9" x14ac:dyDescent="0.2">
      <c r="A307" s="8" t="s">
        <v>91</v>
      </c>
      <c r="B307" t="str">
        <f>_xlfn.XLOOKUP(A307,province_lookup!$A:$A,province_lookup!$B:$B)</f>
        <v>Central</v>
      </c>
      <c r="C307" s="2" t="s">
        <v>115</v>
      </c>
      <c r="D307" s="2" t="s">
        <v>113</v>
      </c>
      <c r="E307" s="2">
        <v>2024</v>
      </c>
      <c r="F307" s="9">
        <v>492</v>
      </c>
      <c r="G307" s="9">
        <v>484</v>
      </c>
      <c r="H307" s="9">
        <v>1052</v>
      </c>
      <c r="I307" s="5">
        <f t="shared" si="5"/>
        <v>2138.2113821138209</v>
      </c>
    </row>
    <row r="308" spans="1:9" x14ac:dyDescent="0.2">
      <c r="A308" s="8" t="s">
        <v>60</v>
      </c>
      <c r="B308" t="str">
        <f>_xlfn.XLOOKUP(A308,province_lookup!$A:$A,province_lookup!$B:$B)</f>
        <v>Central</v>
      </c>
      <c r="C308" s="2" t="s">
        <v>115</v>
      </c>
      <c r="D308" s="2" t="s">
        <v>113</v>
      </c>
      <c r="E308" s="2">
        <v>2024</v>
      </c>
      <c r="F308" s="9">
        <v>497</v>
      </c>
      <c r="G308" s="9">
        <v>486</v>
      </c>
      <c r="H308" s="9">
        <v>920</v>
      </c>
      <c r="I308" s="5">
        <f t="shared" si="5"/>
        <v>1851.1066398390342</v>
      </c>
    </row>
    <row r="309" spans="1:9" x14ac:dyDescent="0.2">
      <c r="A309" s="8" t="s">
        <v>40</v>
      </c>
      <c r="B309" t="str">
        <f>_xlfn.XLOOKUP(A309,province_lookup!$A:$A,province_lookup!$B:$B)</f>
        <v>Northeast</v>
      </c>
      <c r="C309" s="2" t="s">
        <v>115</v>
      </c>
      <c r="D309" s="2" t="s">
        <v>113</v>
      </c>
      <c r="E309" s="2">
        <v>2024</v>
      </c>
      <c r="F309" s="9">
        <v>543</v>
      </c>
      <c r="G309" s="9">
        <v>535</v>
      </c>
      <c r="H309" s="9">
        <v>828</v>
      </c>
      <c r="I309" s="5">
        <f t="shared" si="5"/>
        <v>1524.8618784530386</v>
      </c>
    </row>
    <row r="310" spans="1:9" x14ac:dyDescent="0.2">
      <c r="A310" s="8" t="s">
        <v>100</v>
      </c>
      <c r="B310" t="str">
        <f>_xlfn.XLOOKUP(A310,province_lookup!$A:$A,province_lookup!$B:$B)</f>
        <v>Northeast</v>
      </c>
      <c r="C310" s="2" t="s">
        <v>115</v>
      </c>
      <c r="D310" s="2" t="s">
        <v>113</v>
      </c>
      <c r="E310" s="2">
        <v>2024</v>
      </c>
      <c r="F310" s="9">
        <v>391</v>
      </c>
      <c r="G310" s="9">
        <v>385</v>
      </c>
      <c r="H310" s="9">
        <v>641</v>
      </c>
      <c r="I310" s="5">
        <f t="shared" si="5"/>
        <v>1639.386189258312</v>
      </c>
    </row>
    <row r="311" spans="1:9" x14ac:dyDescent="0.2">
      <c r="A311" s="8" t="s">
        <v>90</v>
      </c>
      <c r="B311" t="str">
        <f>_xlfn.XLOOKUP(A311,province_lookup!$A:$A,province_lookup!$B:$B)</f>
        <v>Northeast</v>
      </c>
      <c r="C311" s="2" t="s">
        <v>115</v>
      </c>
      <c r="D311" s="2" t="s">
        <v>113</v>
      </c>
      <c r="E311" s="2">
        <v>2024</v>
      </c>
      <c r="F311" s="9">
        <v>247</v>
      </c>
      <c r="G311" s="9">
        <v>244</v>
      </c>
      <c r="H311" s="9">
        <v>424</v>
      </c>
      <c r="I311" s="5">
        <f t="shared" si="5"/>
        <v>1716.5991902834007</v>
      </c>
    </row>
    <row r="312" spans="1:9" x14ac:dyDescent="0.2">
      <c r="A312" s="8" t="s">
        <v>53</v>
      </c>
      <c r="B312" t="str">
        <f>_xlfn.XLOOKUP(A312,province_lookup!$A:$A,province_lookup!$B:$B)</f>
        <v>Northeast</v>
      </c>
      <c r="C312" s="2" t="s">
        <v>115</v>
      </c>
      <c r="D312" s="2" t="s">
        <v>113</v>
      </c>
      <c r="E312" s="2">
        <v>2024</v>
      </c>
      <c r="F312" s="9">
        <v>4711</v>
      </c>
      <c r="G312" s="9">
        <v>4665</v>
      </c>
      <c r="H312" s="9">
        <v>10529</v>
      </c>
      <c r="I312" s="5">
        <f t="shared" si="5"/>
        <v>2234.9819571216303</v>
      </c>
    </row>
    <row r="313" spans="1:9" x14ac:dyDescent="0.2">
      <c r="A313" s="8" t="s">
        <v>22</v>
      </c>
      <c r="B313" t="str">
        <f>_xlfn.XLOOKUP(A313,province_lookup!$A:$A,province_lookup!$B:$B)</f>
        <v>Northeast</v>
      </c>
      <c r="C313" s="2" t="s">
        <v>115</v>
      </c>
      <c r="D313" s="2" t="s">
        <v>113</v>
      </c>
      <c r="E313" s="2">
        <v>2024</v>
      </c>
      <c r="F313" s="9">
        <v>1982</v>
      </c>
      <c r="G313" s="9">
        <v>1949</v>
      </c>
      <c r="H313" s="9">
        <v>4863</v>
      </c>
      <c r="I313" s="5">
        <f t="shared" si="5"/>
        <v>2453.5822401614532</v>
      </c>
    </row>
    <row r="314" spans="1:9" x14ac:dyDescent="0.2">
      <c r="A314" s="8" t="s">
        <v>74</v>
      </c>
      <c r="B314" t="str">
        <f>_xlfn.XLOOKUP(A314,province_lookup!$A:$A,province_lookup!$B:$B)</f>
        <v>Northeast</v>
      </c>
      <c r="C314" s="2" t="s">
        <v>115</v>
      </c>
      <c r="D314" s="2" t="s">
        <v>113</v>
      </c>
      <c r="E314" s="2">
        <v>2024</v>
      </c>
      <c r="F314" s="9">
        <v>2748</v>
      </c>
      <c r="G314" s="9">
        <v>2668</v>
      </c>
      <c r="H314" s="9">
        <v>5939</v>
      </c>
      <c r="I314" s="5">
        <f t="shared" si="5"/>
        <v>2161.2081513828239</v>
      </c>
    </row>
    <row r="315" spans="1:9" x14ac:dyDescent="0.2">
      <c r="A315" s="8" t="s">
        <v>47</v>
      </c>
      <c r="B315" t="str">
        <f>_xlfn.XLOOKUP(A315,province_lookup!$A:$A,province_lookup!$B:$B)</f>
        <v>Northeast</v>
      </c>
      <c r="C315" s="2" t="s">
        <v>115</v>
      </c>
      <c r="D315" s="2" t="s">
        <v>113</v>
      </c>
      <c r="E315" s="2">
        <v>2024</v>
      </c>
      <c r="F315" s="9">
        <v>3526</v>
      </c>
      <c r="G315" s="9">
        <v>3469</v>
      </c>
      <c r="H315" s="9">
        <v>7063</v>
      </c>
      <c r="I315" s="5">
        <f t="shared" si="5"/>
        <v>2003.1196823596142</v>
      </c>
    </row>
    <row r="316" spans="1:9" x14ac:dyDescent="0.2">
      <c r="A316" s="8" t="s">
        <v>44</v>
      </c>
      <c r="B316" t="str">
        <f>_xlfn.XLOOKUP(A316,province_lookup!$A:$A,province_lookup!$B:$B)</f>
        <v>Northeast</v>
      </c>
      <c r="C316" s="2" t="s">
        <v>115</v>
      </c>
      <c r="D316" s="2" t="s">
        <v>113</v>
      </c>
      <c r="E316" s="2">
        <v>2024</v>
      </c>
      <c r="F316" s="9">
        <v>991</v>
      </c>
      <c r="G316" s="9">
        <v>977</v>
      </c>
      <c r="H316" s="9">
        <v>1936</v>
      </c>
      <c r="I316" s="5">
        <f t="shared" si="5"/>
        <v>1953.582240161453</v>
      </c>
    </row>
    <row r="317" spans="1:9" x14ac:dyDescent="0.2">
      <c r="A317" s="8" t="s">
        <v>94</v>
      </c>
      <c r="B317" t="str">
        <f>_xlfn.XLOOKUP(A317,province_lookup!$A:$A,province_lookup!$B:$B)</f>
        <v>Northeast</v>
      </c>
      <c r="C317" s="2" t="s">
        <v>115</v>
      </c>
      <c r="D317" s="2" t="s">
        <v>113</v>
      </c>
      <c r="E317" s="2">
        <v>2024</v>
      </c>
      <c r="F317" s="9">
        <v>136</v>
      </c>
      <c r="G317" s="9">
        <v>132</v>
      </c>
      <c r="H317" s="9">
        <v>250</v>
      </c>
      <c r="I317" s="5">
        <f t="shared" si="5"/>
        <v>1838.2352941176471</v>
      </c>
    </row>
    <row r="318" spans="1:9" x14ac:dyDescent="0.2">
      <c r="A318" s="8" t="s">
        <v>19</v>
      </c>
      <c r="B318" t="str">
        <f>_xlfn.XLOOKUP(A318,province_lookup!$A:$A,province_lookup!$B:$B)</f>
        <v>Northeast</v>
      </c>
      <c r="C318" s="2" t="s">
        <v>115</v>
      </c>
      <c r="D318" s="2" t="s">
        <v>113</v>
      </c>
      <c r="E318" s="2">
        <v>2024</v>
      </c>
      <c r="F318" s="9">
        <v>511</v>
      </c>
      <c r="G318" s="9">
        <v>503</v>
      </c>
      <c r="H318" s="9">
        <v>870</v>
      </c>
      <c r="I318" s="5">
        <f t="shared" si="5"/>
        <v>1702.5440313111546</v>
      </c>
    </row>
    <row r="319" spans="1:9" x14ac:dyDescent="0.2">
      <c r="A319" s="8" t="s">
        <v>89</v>
      </c>
      <c r="B319" t="str">
        <f>_xlfn.XLOOKUP(A319,province_lookup!$A:$A,province_lookup!$B:$B)</f>
        <v>Northeast</v>
      </c>
      <c r="C319" s="2" t="s">
        <v>115</v>
      </c>
      <c r="D319" s="2" t="s">
        <v>113</v>
      </c>
      <c r="E319" s="2">
        <v>2024</v>
      </c>
      <c r="F319" s="9">
        <v>2275</v>
      </c>
      <c r="G319" s="9">
        <v>2225</v>
      </c>
      <c r="H319" s="9">
        <v>3940</v>
      </c>
      <c r="I319" s="5">
        <f t="shared" si="5"/>
        <v>1731.868131868132</v>
      </c>
    </row>
    <row r="320" spans="1:9" x14ac:dyDescent="0.2">
      <c r="A320" s="8" t="s">
        <v>103</v>
      </c>
      <c r="B320" t="str">
        <f>_xlfn.XLOOKUP(A320,province_lookup!$A:$A,province_lookup!$B:$B)</f>
        <v>Northeast</v>
      </c>
      <c r="C320" s="2" t="s">
        <v>115</v>
      </c>
      <c r="D320" s="2" t="s">
        <v>113</v>
      </c>
      <c r="E320" s="2">
        <v>2024</v>
      </c>
      <c r="F320" s="9">
        <v>3065</v>
      </c>
      <c r="G320" s="9">
        <v>3035</v>
      </c>
      <c r="H320" s="9">
        <v>5745</v>
      </c>
      <c r="I320" s="5">
        <f t="shared" si="5"/>
        <v>1874.3882544861337</v>
      </c>
    </row>
    <row r="321" spans="1:9" x14ac:dyDescent="0.2">
      <c r="A321" s="8" t="s">
        <v>85</v>
      </c>
      <c r="B321" t="str">
        <f>_xlfn.XLOOKUP(A321,province_lookup!$A:$A,province_lookup!$B:$B)</f>
        <v>Northeast</v>
      </c>
      <c r="C321" s="2" t="s">
        <v>115</v>
      </c>
      <c r="D321" s="2" t="s">
        <v>113</v>
      </c>
      <c r="E321" s="2">
        <v>2024</v>
      </c>
      <c r="F321" s="9">
        <v>1310</v>
      </c>
      <c r="G321" s="9">
        <v>1285</v>
      </c>
      <c r="H321" s="9">
        <v>1926</v>
      </c>
      <c r="I321" s="5">
        <f t="shared" si="5"/>
        <v>1470.2290076335878</v>
      </c>
    </row>
    <row r="322" spans="1:9" x14ac:dyDescent="0.2">
      <c r="A322" s="8" t="s">
        <v>97</v>
      </c>
      <c r="B322" t="str">
        <f>_xlfn.XLOOKUP(A322,province_lookup!$A:$A,province_lookup!$B:$B)</f>
        <v>Northeast</v>
      </c>
      <c r="C322" s="2" t="s">
        <v>115</v>
      </c>
      <c r="D322" s="2" t="s">
        <v>113</v>
      </c>
      <c r="E322" s="2">
        <v>2024</v>
      </c>
      <c r="F322" s="9">
        <v>2562</v>
      </c>
      <c r="G322" s="9">
        <v>2503</v>
      </c>
      <c r="H322" s="9">
        <v>4783</v>
      </c>
      <c r="I322" s="5">
        <f t="shared" si="5"/>
        <v>1866.9008587041374</v>
      </c>
    </row>
    <row r="323" spans="1:9" x14ac:dyDescent="0.2">
      <c r="A323" s="8" t="s">
        <v>43</v>
      </c>
      <c r="B323" t="str">
        <f>_xlfn.XLOOKUP(A323,province_lookup!$A:$A,province_lookup!$B:$B)</f>
        <v>Northeast</v>
      </c>
      <c r="C323" s="2" t="s">
        <v>115</v>
      </c>
      <c r="D323" s="2" t="s">
        <v>113</v>
      </c>
      <c r="E323" s="2">
        <v>2024</v>
      </c>
      <c r="F323" s="9">
        <v>878</v>
      </c>
      <c r="G323" s="9">
        <v>861</v>
      </c>
      <c r="H323" s="9">
        <v>1367</v>
      </c>
      <c r="I323" s="5">
        <f t="shared" si="5"/>
        <v>1556.9476082004555</v>
      </c>
    </row>
    <row r="324" spans="1:9" x14ac:dyDescent="0.2">
      <c r="A324" s="8" t="s">
        <v>72</v>
      </c>
      <c r="B324" t="str">
        <f>_xlfn.XLOOKUP(A324,province_lookup!$A:$A,province_lookup!$B:$B)</f>
        <v>Northeast</v>
      </c>
      <c r="C324" s="2" t="s">
        <v>115</v>
      </c>
      <c r="D324" s="2" t="s">
        <v>113</v>
      </c>
      <c r="E324" s="2">
        <v>2024</v>
      </c>
      <c r="F324" s="9">
        <v>1348</v>
      </c>
      <c r="G324" s="9">
        <v>1324</v>
      </c>
      <c r="H324" s="9">
        <v>2526</v>
      </c>
      <c r="I324" s="5">
        <f t="shared" si="5"/>
        <v>1873.8872403560831</v>
      </c>
    </row>
    <row r="325" spans="1:9" x14ac:dyDescent="0.2">
      <c r="A325" s="8" t="s">
        <v>33</v>
      </c>
      <c r="B325" t="str">
        <f>_xlfn.XLOOKUP(A325,province_lookup!$A:$A,province_lookup!$B:$B)</f>
        <v>Northeast</v>
      </c>
      <c r="C325" s="2" t="s">
        <v>115</v>
      </c>
      <c r="D325" s="2" t="s">
        <v>113</v>
      </c>
      <c r="E325" s="2">
        <v>2024</v>
      </c>
      <c r="F325" s="9">
        <v>1971</v>
      </c>
      <c r="G325" s="9">
        <v>1940</v>
      </c>
      <c r="H325" s="9">
        <v>3265</v>
      </c>
      <c r="I325" s="5">
        <f t="shared" si="5"/>
        <v>1656.5195332318619</v>
      </c>
    </row>
    <row r="326" spans="1:9" x14ac:dyDescent="0.2">
      <c r="A326" s="8" t="s">
        <v>37</v>
      </c>
      <c r="B326" t="str">
        <f>_xlfn.XLOOKUP(A326,province_lookup!$A:$A,province_lookup!$B:$B)</f>
        <v>Northeast</v>
      </c>
      <c r="C326" s="2" t="s">
        <v>115</v>
      </c>
      <c r="D326" s="2" t="s">
        <v>113</v>
      </c>
      <c r="E326" s="2">
        <v>2024</v>
      </c>
      <c r="F326" s="9">
        <v>306</v>
      </c>
      <c r="G326" s="9">
        <v>300</v>
      </c>
      <c r="H326" s="9">
        <v>586</v>
      </c>
      <c r="I326" s="5">
        <f t="shared" si="5"/>
        <v>1915.0326797385621</v>
      </c>
    </row>
    <row r="327" spans="1:9" x14ac:dyDescent="0.2">
      <c r="A327" s="8" t="s">
        <v>27</v>
      </c>
      <c r="B327" t="str">
        <f>_xlfn.XLOOKUP(A327,province_lookup!$A:$A,province_lookup!$B:$B)</f>
        <v>Northeast</v>
      </c>
      <c r="C327" s="2" t="s">
        <v>115</v>
      </c>
      <c r="D327" s="2" t="s">
        <v>113</v>
      </c>
      <c r="E327" s="2">
        <v>2024</v>
      </c>
      <c r="F327" s="9">
        <v>405</v>
      </c>
      <c r="G327" s="9">
        <v>398</v>
      </c>
      <c r="H327" s="9">
        <v>636</v>
      </c>
      <c r="I327" s="5">
        <f t="shared" si="5"/>
        <v>1570.3703703703704</v>
      </c>
    </row>
    <row r="328" spans="1:9" x14ac:dyDescent="0.2">
      <c r="A328" s="8" t="s">
        <v>10</v>
      </c>
      <c r="B328" t="str">
        <f>_xlfn.XLOOKUP(A328,province_lookup!$A:$A,province_lookup!$B:$B)</f>
        <v>Northeast</v>
      </c>
      <c r="C328" s="2" t="s">
        <v>115</v>
      </c>
      <c r="D328" s="2" t="s">
        <v>113</v>
      </c>
      <c r="E328" s="2">
        <v>2024</v>
      </c>
      <c r="F328" s="9">
        <v>7927</v>
      </c>
      <c r="G328" s="9">
        <v>7706</v>
      </c>
      <c r="H328" s="9">
        <v>16159</v>
      </c>
      <c r="I328" s="5">
        <f t="shared" si="5"/>
        <v>2038.4760943610445</v>
      </c>
    </row>
    <row r="329" spans="1:9" x14ac:dyDescent="0.2">
      <c r="A329" s="8" t="s">
        <v>78</v>
      </c>
      <c r="B329" t="str">
        <f>_xlfn.XLOOKUP(A329,province_lookup!$A:$A,province_lookup!$B:$B)</f>
        <v>Central</v>
      </c>
      <c r="C329" s="2" t="s">
        <v>115</v>
      </c>
      <c r="D329" s="2" t="s">
        <v>113</v>
      </c>
      <c r="E329" s="2">
        <v>2024</v>
      </c>
      <c r="F329" s="9">
        <v>1280</v>
      </c>
      <c r="G329" s="9">
        <v>1271</v>
      </c>
      <c r="H329" s="9">
        <v>2004</v>
      </c>
      <c r="I329" s="5">
        <f t="shared" si="5"/>
        <v>1565.625</v>
      </c>
    </row>
    <row r="330" spans="1:9" x14ac:dyDescent="0.2">
      <c r="A330" s="8" t="s">
        <v>99</v>
      </c>
      <c r="B330" t="str">
        <f>_xlfn.XLOOKUP(A330,province_lookup!$A:$A,province_lookup!$B:$B)</f>
        <v>Central</v>
      </c>
      <c r="C330" s="2" t="s">
        <v>115</v>
      </c>
      <c r="D330" s="2" t="s">
        <v>113</v>
      </c>
      <c r="E330" s="2">
        <v>2024</v>
      </c>
      <c r="F330" s="9">
        <v>2725</v>
      </c>
      <c r="G330" s="9">
        <v>2706</v>
      </c>
      <c r="H330" s="9">
        <v>4551</v>
      </c>
      <c r="I330" s="5">
        <f t="shared" si="5"/>
        <v>1670.0917431192661</v>
      </c>
    </row>
    <row r="331" spans="1:9" x14ac:dyDescent="0.2">
      <c r="A331" s="8" t="s">
        <v>26</v>
      </c>
      <c r="B331" t="str">
        <f>_xlfn.XLOOKUP(A331,province_lookup!$A:$A,province_lookup!$B:$B)</f>
        <v>Central</v>
      </c>
      <c r="C331" s="2" t="s">
        <v>115</v>
      </c>
      <c r="D331" s="2" t="s">
        <v>113</v>
      </c>
      <c r="E331" s="2">
        <v>2024</v>
      </c>
      <c r="F331" s="9">
        <v>92</v>
      </c>
      <c r="G331" s="9">
        <v>82</v>
      </c>
      <c r="H331" s="9">
        <v>156</v>
      </c>
      <c r="I331" s="5">
        <f t="shared" si="5"/>
        <v>1695.6521739130435</v>
      </c>
    </row>
    <row r="332" spans="1:9" x14ac:dyDescent="0.2">
      <c r="A332" s="8" t="s">
        <v>12</v>
      </c>
      <c r="B332" t="str">
        <f>_xlfn.XLOOKUP(A332,province_lookup!$A:$A,province_lookup!$B:$B)</f>
        <v>Central</v>
      </c>
      <c r="C332" s="2" t="s">
        <v>115</v>
      </c>
      <c r="D332" s="2" t="s">
        <v>113</v>
      </c>
      <c r="E332" s="2">
        <v>2024</v>
      </c>
      <c r="F332" s="9">
        <v>2523</v>
      </c>
      <c r="G332" s="9">
        <v>2437</v>
      </c>
      <c r="H332" s="9">
        <v>4153</v>
      </c>
      <c r="I332" s="5">
        <f t="shared" si="5"/>
        <v>1646.0562822037257</v>
      </c>
    </row>
    <row r="333" spans="1:9" x14ac:dyDescent="0.2">
      <c r="A333" s="8" t="s">
        <v>21</v>
      </c>
      <c r="B333" t="str">
        <f>_xlfn.XLOOKUP(A333,province_lookup!$A:$A,province_lookup!$B:$B)</f>
        <v>Central</v>
      </c>
      <c r="C333" s="2" t="s">
        <v>115</v>
      </c>
      <c r="D333" s="2" t="s">
        <v>113</v>
      </c>
      <c r="E333" s="2">
        <v>2024</v>
      </c>
      <c r="F333" s="9">
        <v>41</v>
      </c>
      <c r="G333" s="9">
        <v>40</v>
      </c>
      <c r="H333" s="9">
        <v>61</v>
      </c>
      <c r="I333" s="5">
        <f t="shared" si="5"/>
        <v>1487.8048780487804</v>
      </c>
    </row>
    <row r="334" spans="1:9" x14ac:dyDescent="0.2">
      <c r="A334" s="8" t="s">
        <v>64</v>
      </c>
      <c r="B334" t="str">
        <f>_xlfn.XLOOKUP(A334,province_lookup!$A:$A,province_lookup!$B:$B)</f>
        <v>Central</v>
      </c>
      <c r="C334" s="2" t="s">
        <v>115</v>
      </c>
      <c r="D334" s="2" t="s">
        <v>113</v>
      </c>
      <c r="E334" s="2">
        <v>2024</v>
      </c>
      <c r="F334" s="9">
        <v>50</v>
      </c>
      <c r="G334" s="9">
        <v>49</v>
      </c>
      <c r="H334" s="9">
        <v>80</v>
      </c>
      <c r="I334" s="5">
        <f t="shared" si="5"/>
        <v>1600</v>
      </c>
    </row>
    <row r="335" spans="1:9" x14ac:dyDescent="0.2">
      <c r="A335" s="8" t="s">
        <v>55</v>
      </c>
      <c r="B335" t="str">
        <f>_xlfn.XLOOKUP(A335,province_lookup!$A:$A,province_lookup!$B:$B)</f>
        <v>Central</v>
      </c>
      <c r="C335" s="2" t="s">
        <v>115</v>
      </c>
      <c r="D335" s="2" t="s">
        <v>113</v>
      </c>
      <c r="E335" s="2">
        <v>2024</v>
      </c>
      <c r="F335" s="9">
        <v>8280</v>
      </c>
      <c r="G335" s="9">
        <v>8185</v>
      </c>
      <c r="H335" s="9">
        <v>15846</v>
      </c>
      <c r="I335" s="5">
        <f t="shared" si="5"/>
        <v>1913.768115942029</v>
      </c>
    </row>
    <row r="336" spans="1:9" x14ac:dyDescent="0.2">
      <c r="A336" s="8" t="s">
        <v>102</v>
      </c>
      <c r="B336" t="str">
        <f>_xlfn.XLOOKUP(A336,province_lookup!$A:$A,province_lookup!$B:$B)</f>
        <v>East</v>
      </c>
      <c r="C336" s="2" t="s">
        <v>115</v>
      </c>
      <c r="D336" s="2" t="s">
        <v>113</v>
      </c>
      <c r="E336" s="2">
        <v>2024</v>
      </c>
      <c r="F336" s="9">
        <v>17</v>
      </c>
      <c r="G336" s="9">
        <v>16</v>
      </c>
      <c r="H336" s="9">
        <v>27</v>
      </c>
      <c r="I336" s="5">
        <f t="shared" si="5"/>
        <v>1588.2352941176471</v>
      </c>
    </row>
    <row r="337" spans="1:9" x14ac:dyDescent="0.2">
      <c r="A337" s="8" t="s">
        <v>24</v>
      </c>
      <c r="B337" t="str">
        <f>_xlfn.XLOOKUP(A337,province_lookup!$A:$A,province_lookup!$B:$B)</f>
        <v>East</v>
      </c>
      <c r="C337" s="2" t="s">
        <v>115</v>
      </c>
      <c r="D337" s="2" t="s">
        <v>113</v>
      </c>
      <c r="E337" s="2">
        <v>2024</v>
      </c>
      <c r="F337" s="9">
        <v>217</v>
      </c>
      <c r="G337" s="9">
        <v>198</v>
      </c>
      <c r="H337" s="9">
        <v>364</v>
      </c>
      <c r="I337" s="5">
        <f t="shared" si="5"/>
        <v>1677.4193548387098</v>
      </c>
    </row>
    <row r="338" spans="1:9" x14ac:dyDescent="0.2">
      <c r="A338" s="8" t="s">
        <v>73</v>
      </c>
      <c r="B338" t="str">
        <f>_xlfn.XLOOKUP(A338,province_lookup!$A:$A,province_lookup!$B:$B)</f>
        <v>East</v>
      </c>
      <c r="C338" s="2" t="s">
        <v>115</v>
      </c>
      <c r="D338" s="2" t="s">
        <v>113</v>
      </c>
      <c r="E338" s="2">
        <v>2024</v>
      </c>
      <c r="F338" s="9">
        <v>501</v>
      </c>
      <c r="G338" s="9">
        <v>492</v>
      </c>
      <c r="H338" s="9">
        <v>903</v>
      </c>
      <c r="I338" s="5">
        <f t="shared" si="5"/>
        <v>1802.3952095808384</v>
      </c>
    </row>
    <row r="339" spans="1:9" x14ac:dyDescent="0.2">
      <c r="A339" s="8" t="s">
        <v>28</v>
      </c>
      <c r="B339" t="str">
        <f>_xlfn.XLOOKUP(A339,province_lookup!$A:$A,province_lookup!$B:$B)</f>
        <v>East</v>
      </c>
      <c r="C339" s="2" t="s">
        <v>115</v>
      </c>
      <c r="D339" s="2" t="s">
        <v>113</v>
      </c>
      <c r="E339" s="2">
        <v>2024</v>
      </c>
      <c r="F339" s="9">
        <v>233</v>
      </c>
      <c r="G339" s="9">
        <v>228</v>
      </c>
      <c r="H339" s="9">
        <v>411</v>
      </c>
      <c r="I339" s="5">
        <f t="shared" si="5"/>
        <v>1763.9484978540772</v>
      </c>
    </row>
    <row r="340" spans="1:9" x14ac:dyDescent="0.2">
      <c r="A340" s="8" t="s">
        <v>71</v>
      </c>
      <c r="B340" t="str">
        <f>_xlfn.XLOOKUP(A340,province_lookup!$A:$A,province_lookup!$B:$B)</f>
        <v>East</v>
      </c>
      <c r="C340" s="2" t="s">
        <v>115</v>
      </c>
      <c r="D340" s="2" t="s">
        <v>113</v>
      </c>
      <c r="E340" s="2">
        <v>2024</v>
      </c>
      <c r="F340" s="9">
        <v>25</v>
      </c>
      <c r="G340" s="9">
        <v>24</v>
      </c>
      <c r="H340" s="9">
        <v>37</v>
      </c>
      <c r="I340" s="5">
        <f t="shared" si="5"/>
        <v>1480</v>
      </c>
    </row>
    <row r="341" spans="1:9" x14ac:dyDescent="0.2">
      <c r="A341" s="8" t="s">
        <v>98</v>
      </c>
      <c r="B341" t="str">
        <f>_xlfn.XLOOKUP(A341,province_lookup!$A:$A,province_lookup!$B:$B)</f>
        <v>East</v>
      </c>
      <c r="C341" s="2" t="s">
        <v>115</v>
      </c>
      <c r="D341" s="2" t="s">
        <v>113</v>
      </c>
      <c r="E341" s="2">
        <v>2024</v>
      </c>
      <c r="F341" s="9">
        <v>1675</v>
      </c>
      <c r="G341" s="9">
        <v>1650</v>
      </c>
      <c r="H341" s="9">
        <v>3635</v>
      </c>
      <c r="I341" s="5">
        <f t="shared" si="5"/>
        <v>2170.1492537313434</v>
      </c>
    </row>
    <row r="342" spans="1:9" x14ac:dyDescent="0.2">
      <c r="A342" s="8" t="s">
        <v>46</v>
      </c>
      <c r="B342" t="str">
        <f>_xlfn.XLOOKUP(A342,province_lookup!$A:$A,province_lookup!$B:$B)</f>
        <v>Central</v>
      </c>
      <c r="C342" s="2" t="s">
        <v>115</v>
      </c>
      <c r="D342" s="2" t="s">
        <v>113</v>
      </c>
      <c r="E342" s="2">
        <v>2024</v>
      </c>
      <c r="F342" s="9">
        <v>138</v>
      </c>
      <c r="G342" s="9">
        <v>137</v>
      </c>
      <c r="H342" s="9">
        <v>275</v>
      </c>
      <c r="I342" s="5">
        <f t="shared" si="5"/>
        <v>1992.7536231884058</v>
      </c>
    </row>
    <row r="343" spans="1:9" x14ac:dyDescent="0.2">
      <c r="A343" s="8" t="s">
        <v>35</v>
      </c>
      <c r="B343" t="str">
        <f>_xlfn.XLOOKUP(A343,province_lookup!$A:$A,province_lookup!$B:$B)</f>
        <v>West</v>
      </c>
      <c r="C343" s="2" t="s">
        <v>115</v>
      </c>
      <c r="D343" s="2" t="s">
        <v>113</v>
      </c>
      <c r="E343" s="2">
        <v>2024</v>
      </c>
      <c r="F343" s="9">
        <v>26999</v>
      </c>
      <c r="G343" s="9">
        <v>26640</v>
      </c>
      <c r="H343" s="9">
        <v>57090</v>
      </c>
      <c r="I343" s="5">
        <f t="shared" si="5"/>
        <v>2114.5227601022261</v>
      </c>
    </row>
    <row r="344" spans="1:9" x14ac:dyDescent="0.2">
      <c r="A344" s="8" t="s">
        <v>70</v>
      </c>
      <c r="B344" t="str">
        <f>_xlfn.XLOOKUP(A344,province_lookup!$A:$A,province_lookup!$B:$B)</f>
        <v>West</v>
      </c>
      <c r="C344" s="2" t="s">
        <v>115</v>
      </c>
      <c r="D344" s="2" t="s">
        <v>113</v>
      </c>
      <c r="E344" s="2">
        <v>2024</v>
      </c>
      <c r="F344" s="9">
        <v>7095</v>
      </c>
      <c r="G344" s="9">
        <v>7011</v>
      </c>
      <c r="H344" s="9">
        <v>12984</v>
      </c>
      <c r="I344" s="5">
        <f t="shared" si="5"/>
        <v>1830.0211416490486</v>
      </c>
    </row>
    <row r="345" spans="1:9" x14ac:dyDescent="0.2">
      <c r="A345" s="8" t="s">
        <v>61</v>
      </c>
      <c r="B345" t="str">
        <f>_xlfn.XLOOKUP(A345,province_lookup!$A:$A,province_lookup!$B:$B)</f>
        <v>West</v>
      </c>
      <c r="C345" s="2" t="s">
        <v>115</v>
      </c>
      <c r="D345" s="2" t="s">
        <v>113</v>
      </c>
      <c r="E345" s="2">
        <v>2024</v>
      </c>
      <c r="F345" s="9">
        <v>2538</v>
      </c>
      <c r="G345" s="9">
        <v>2496</v>
      </c>
      <c r="H345" s="9">
        <v>4770</v>
      </c>
      <c r="I345" s="5">
        <f t="shared" ref="I345:I358" si="6">H345*1000/F345</f>
        <v>1879.4326241134752</v>
      </c>
    </row>
    <row r="346" spans="1:9" x14ac:dyDescent="0.2">
      <c r="A346" s="8" t="s">
        <v>68</v>
      </c>
      <c r="B346" t="str">
        <f>_xlfn.XLOOKUP(A346,province_lookup!$A:$A,province_lookup!$B:$B)</f>
        <v>West</v>
      </c>
      <c r="C346" s="2" t="s">
        <v>115</v>
      </c>
      <c r="D346" s="2" t="s">
        <v>113</v>
      </c>
      <c r="E346" s="2">
        <v>2024</v>
      </c>
      <c r="F346" s="9">
        <v>463</v>
      </c>
      <c r="G346" s="9">
        <v>458</v>
      </c>
      <c r="H346" s="9">
        <v>690</v>
      </c>
      <c r="I346" s="5">
        <f t="shared" si="6"/>
        <v>1490.2807775377969</v>
      </c>
    </row>
    <row r="347" spans="1:9" x14ac:dyDescent="0.2">
      <c r="A347" s="8" t="s">
        <v>31</v>
      </c>
      <c r="B347" t="str">
        <f>_xlfn.XLOOKUP(A347,province_lookup!$A:$A,province_lookup!$B:$B)</f>
        <v>South</v>
      </c>
      <c r="C347" s="2" t="s">
        <v>115</v>
      </c>
      <c r="D347" s="2" t="s">
        <v>113</v>
      </c>
      <c r="E347" s="2">
        <v>2024</v>
      </c>
      <c r="F347" s="9">
        <v>242</v>
      </c>
      <c r="G347" s="9">
        <v>239</v>
      </c>
      <c r="H347" s="9">
        <v>282</v>
      </c>
      <c r="I347" s="5">
        <f t="shared" si="6"/>
        <v>1165.2892561983472</v>
      </c>
    </row>
    <row r="348" spans="1:9" x14ac:dyDescent="0.2">
      <c r="A348" s="8" t="s">
        <v>84</v>
      </c>
      <c r="B348" t="str">
        <f>_xlfn.XLOOKUP(A348,province_lookup!$A:$A,province_lookup!$B:$B)</f>
        <v>South</v>
      </c>
      <c r="C348" s="2" t="s">
        <v>115</v>
      </c>
      <c r="D348" s="2" t="s">
        <v>113</v>
      </c>
      <c r="E348" s="2">
        <v>2024</v>
      </c>
      <c r="F348" s="9">
        <v>5254</v>
      </c>
      <c r="G348" s="9">
        <v>5190</v>
      </c>
      <c r="H348" s="9">
        <v>10095</v>
      </c>
      <c r="I348" s="5">
        <f t="shared" si="6"/>
        <v>1921.3932242101257</v>
      </c>
    </row>
    <row r="349" spans="1:9" x14ac:dyDescent="0.2">
      <c r="A349" s="8" t="s">
        <v>101</v>
      </c>
      <c r="B349" t="str">
        <f>_xlfn.XLOOKUP(A349,province_lookup!$A:$A,province_lookup!$B:$B)</f>
        <v>South</v>
      </c>
      <c r="C349" s="2" t="s">
        <v>115</v>
      </c>
      <c r="D349" s="2" t="s">
        <v>113</v>
      </c>
      <c r="E349" s="2">
        <v>2024</v>
      </c>
      <c r="F349" s="9">
        <v>87</v>
      </c>
      <c r="G349" s="9">
        <v>87</v>
      </c>
      <c r="H349" s="9">
        <v>112</v>
      </c>
      <c r="I349" s="5">
        <f t="shared" si="6"/>
        <v>1287.3563218390805</v>
      </c>
    </row>
    <row r="350" spans="1:9" x14ac:dyDescent="0.2">
      <c r="A350" s="8" t="s">
        <v>38</v>
      </c>
      <c r="B350" t="str">
        <f>_xlfn.XLOOKUP(A350,province_lookup!$A:$A,province_lookup!$B:$B)</f>
        <v>South</v>
      </c>
      <c r="C350" s="2" t="s">
        <v>115</v>
      </c>
      <c r="D350" s="2" t="s">
        <v>113</v>
      </c>
      <c r="E350" s="2">
        <v>2024</v>
      </c>
      <c r="F350" s="9">
        <v>271</v>
      </c>
      <c r="G350" s="9">
        <v>264</v>
      </c>
      <c r="H350" s="9">
        <v>437</v>
      </c>
      <c r="I350" s="5">
        <f t="shared" si="6"/>
        <v>1612.5461254612546</v>
      </c>
    </row>
    <row r="351" spans="1:9" x14ac:dyDescent="0.2">
      <c r="A351" s="8" t="s">
        <v>87</v>
      </c>
      <c r="B351" t="str">
        <f>_xlfn.XLOOKUP(A351,province_lookup!$A:$A,province_lookup!$B:$B)</f>
        <v>South</v>
      </c>
      <c r="C351" s="2" t="s">
        <v>115</v>
      </c>
      <c r="D351" s="2" t="s">
        <v>113</v>
      </c>
      <c r="E351" s="2">
        <v>2024</v>
      </c>
      <c r="F351" s="9">
        <v>2965</v>
      </c>
      <c r="G351" s="9">
        <v>2907</v>
      </c>
      <c r="H351" s="9">
        <v>4436</v>
      </c>
      <c r="I351" s="5">
        <f t="shared" si="6"/>
        <v>1496.1214165261383</v>
      </c>
    </row>
    <row r="352" spans="1:9" x14ac:dyDescent="0.2">
      <c r="A352" s="8" t="s">
        <v>49</v>
      </c>
      <c r="B352" t="str">
        <f>_xlfn.XLOOKUP(A352,province_lookup!$A:$A,province_lookup!$B:$B)</f>
        <v>South</v>
      </c>
      <c r="C352" s="2" t="s">
        <v>115</v>
      </c>
      <c r="D352" s="2" t="s">
        <v>113</v>
      </c>
      <c r="E352" s="2">
        <v>2024</v>
      </c>
      <c r="F352" s="9">
        <v>3162</v>
      </c>
      <c r="G352" s="9">
        <v>2900</v>
      </c>
      <c r="H352" s="9">
        <v>4127</v>
      </c>
      <c r="I352" s="5">
        <f t="shared" si="6"/>
        <v>1305.1865907653385</v>
      </c>
    </row>
    <row r="353" spans="1:9" x14ac:dyDescent="0.2">
      <c r="A353" s="8" t="s">
        <v>58</v>
      </c>
      <c r="B353" t="str">
        <f>_xlfn.XLOOKUP(A353,province_lookup!$A:$A,province_lookup!$B:$B)</f>
        <v>South</v>
      </c>
      <c r="C353" s="2" t="s">
        <v>115</v>
      </c>
      <c r="D353" s="2" t="s">
        <v>113</v>
      </c>
      <c r="E353" s="2">
        <v>2024</v>
      </c>
      <c r="F353" s="9">
        <v>799</v>
      </c>
      <c r="G353" s="9">
        <v>765</v>
      </c>
      <c r="H353" s="9">
        <v>1225</v>
      </c>
      <c r="I353" s="5">
        <f t="shared" si="6"/>
        <v>1533.1664580725908</v>
      </c>
    </row>
    <row r="354" spans="1:9" x14ac:dyDescent="0.2">
      <c r="A354" s="8" t="s">
        <v>82</v>
      </c>
      <c r="B354" t="str">
        <f>_xlfn.XLOOKUP(A354,province_lookup!$A:$A,province_lookup!$B:$B)</f>
        <v>South</v>
      </c>
      <c r="C354" s="2" t="s">
        <v>115</v>
      </c>
      <c r="D354" s="2" t="s">
        <v>113</v>
      </c>
      <c r="E354" s="2">
        <v>2024</v>
      </c>
      <c r="F354" s="9">
        <v>2507</v>
      </c>
      <c r="G354" s="9">
        <v>2315</v>
      </c>
      <c r="H354" s="9">
        <v>3669</v>
      </c>
      <c r="I354" s="5">
        <f t="shared" si="6"/>
        <v>1463.5021938571999</v>
      </c>
    </row>
    <row r="355" spans="1:9" x14ac:dyDescent="0.2">
      <c r="A355" s="8" t="s">
        <v>79</v>
      </c>
      <c r="B355" t="str">
        <f>_xlfn.XLOOKUP(A355,province_lookup!$A:$A,province_lookup!$B:$B)</f>
        <v>South</v>
      </c>
      <c r="C355" s="2" t="s">
        <v>115</v>
      </c>
      <c r="D355" s="2" t="s">
        <v>113</v>
      </c>
      <c r="E355" s="2">
        <v>2024</v>
      </c>
      <c r="F355" s="9">
        <v>935</v>
      </c>
      <c r="G355" s="9">
        <v>875</v>
      </c>
      <c r="H355" s="9">
        <v>1530</v>
      </c>
      <c r="I355" s="5">
        <f t="shared" si="6"/>
        <v>1636.3636363636363</v>
      </c>
    </row>
    <row r="356" spans="1:9" x14ac:dyDescent="0.2">
      <c r="A356" s="8" t="s">
        <v>56</v>
      </c>
      <c r="B356" t="str">
        <f>_xlfn.XLOOKUP(A356,province_lookup!$A:$A,province_lookup!$B:$B)</f>
        <v>South</v>
      </c>
      <c r="C356" s="2" t="s">
        <v>115</v>
      </c>
      <c r="D356" s="2" t="s">
        <v>113</v>
      </c>
      <c r="E356" s="2">
        <v>2024</v>
      </c>
      <c r="F356" s="9">
        <v>464</v>
      </c>
      <c r="G356" s="9">
        <v>435</v>
      </c>
      <c r="H356" s="9">
        <v>660</v>
      </c>
      <c r="I356" s="5">
        <f t="shared" si="6"/>
        <v>1422.4137931034484</v>
      </c>
    </row>
    <row r="357" spans="1:9" x14ac:dyDescent="0.2">
      <c r="A357" s="8" t="s">
        <v>93</v>
      </c>
      <c r="B357" t="str">
        <f>_xlfn.XLOOKUP(A357,province_lookup!$A:$A,province_lookup!$B:$B)</f>
        <v>South</v>
      </c>
      <c r="C357" s="2" t="s">
        <v>115</v>
      </c>
      <c r="D357" s="2" t="s">
        <v>113</v>
      </c>
      <c r="E357" s="2">
        <v>2024</v>
      </c>
      <c r="F357" s="9">
        <v>903</v>
      </c>
      <c r="G357" s="9">
        <v>851</v>
      </c>
      <c r="H357" s="9">
        <v>1285</v>
      </c>
      <c r="I357" s="5">
        <f t="shared" si="6"/>
        <v>1423.0343300110742</v>
      </c>
    </row>
    <row r="358" spans="1:9" x14ac:dyDescent="0.2">
      <c r="A358" s="8" t="s">
        <v>51</v>
      </c>
      <c r="B358" t="str">
        <f>_xlfn.XLOOKUP(A358,province_lookup!$A:$A,province_lookup!$B:$B)</f>
        <v>South</v>
      </c>
      <c r="C358" s="2" t="s">
        <v>115</v>
      </c>
      <c r="D358" s="2" t="s">
        <v>113</v>
      </c>
      <c r="E358" s="2">
        <v>2024</v>
      </c>
      <c r="F358" s="9">
        <v>1406</v>
      </c>
      <c r="G358" s="9">
        <v>1309</v>
      </c>
      <c r="H358" s="9">
        <v>2100</v>
      </c>
      <c r="I358" s="5">
        <f t="shared" si="6"/>
        <v>1493.5988620199146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000-000000000000}">
          <x14:formula1>
            <xm:f>province_lookup!$A$2:$A$78</xm:f>
          </x14:formula1>
          <xm:sqref>A317:A1000 A3:A315</xm:sqref>
        </x14:dataValidation>
        <x14:dataValidation type="list" allowBlank="1" xr:uid="{BE7F48C5-0BA1-9F4D-91CB-29F22602791F}">
          <x14:formula1>
            <xm:f>province_lookup!$A$2:$A$79</xm:f>
          </x14:formula1>
          <xm:sqref>A316 A2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9"/>
  <sheetViews>
    <sheetView workbookViewId="0">
      <selection activeCell="A79" sqref="A79"/>
    </sheetView>
  </sheetViews>
  <sheetFormatPr baseColWidth="10" defaultColWidth="8.83203125" defaultRowHeight="15" x14ac:dyDescent="0.2"/>
  <cols>
    <col min="1" max="1" width="25" customWidth="1"/>
    <col min="2" max="2" width="12" customWidth="1"/>
    <col min="3" max="4" width="18" customWidth="1"/>
    <col min="5" max="5" width="21.1640625" customWidth="1"/>
    <col min="6" max="6" width="60" customWidth="1"/>
  </cols>
  <sheetData>
    <row r="1" spans="1:6" x14ac:dyDescent="0.2">
      <c r="A1" s="6" t="s">
        <v>0</v>
      </c>
      <c r="B1" s="6" t="s">
        <v>1</v>
      </c>
      <c r="C1" s="6" t="s">
        <v>14</v>
      </c>
      <c r="D1" s="6" t="s">
        <v>15</v>
      </c>
      <c r="E1" s="6" t="s">
        <v>95</v>
      </c>
      <c r="F1" s="3" t="s">
        <v>16</v>
      </c>
    </row>
    <row r="2" spans="1:6" x14ac:dyDescent="0.2">
      <c r="A2" s="4" t="s">
        <v>96</v>
      </c>
      <c r="B2" s="4" t="s">
        <v>13</v>
      </c>
      <c r="C2" s="4" t="s">
        <v>17</v>
      </c>
      <c r="E2" s="7"/>
      <c r="F2" s="3" t="s">
        <v>18</v>
      </c>
    </row>
    <row r="3" spans="1:6" x14ac:dyDescent="0.2">
      <c r="A3" s="4" t="s">
        <v>19</v>
      </c>
      <c r="B3" s="4" t="s">
        <v>11</v>
      </c>
      <c r="E3" s="7"/>
      <c r="F3" s="3" t="s">
        <v>20</v>
      </c>
    </row>
    <row r="4" spans="1:6" x14ac:dyDescent="0.2">
      <c r="A4" s="4" t="s">
        <v>21</v>
      </c>
      <c r="B4" s="4" t="s">
        <v>13</v>
      </c>
      <c r="E4" s="7"/>
    </row>
    <row r="5" spans="1:6" x14ac:dyDescent="0.2">
      <c r="A5" s="4" t="s">
        <v>22</v>
      </c>
      <c r="B5" s="4" t="s">
        <v>11</v>
      </c>
      <c r="E5" s="7"/>
    </row>
    <row r="6" spans="1:6" x14ac:dyDescent="0.2">
      <c r="A6" s="4" t="s">
        <v>97</v>
      </c>
      <c r="B6" s="4" t="s">
        <v>11</v>
      </c>
      <c r="C6" s="4" t="s">
        <v>23</v>
      </c>
      <c r="E6" s="7"/>
    </row>
    <row r="7" spans="1:6" x14ac:dyDescent="0.2">
      <c r="A7" s="4" t="s">
        <v>24</v>
      </c>
      <c r="B7" s="4" t="s">
        <v>25</v>
      </c>
      <c r="E7" s="7"/>
    </row>
    <row r="8" spans="1:6" x14ac:dyDescent="0.2">
      <c r="A8" s="4" t="s">
        <v>26</v>
      </c>
      <c r="B8" s="4" t="s">
        <v>13</v>
      </c>
      <c r="E8" s="7"/>
    </row>
    <row r="9" spans="1:6" x14ac:dyDescent="0.2">
      <c r="A9" s="4" t="s">
        <v>27</v>
      </c>
      <c r="B9" s="4" t="s">
        <v>11</v>
      </c>
      <c r="E9" s="7"/>
    </row>
    <row r="10" spans="1:6" x14ac:dyDescent="0.2">
      <c r="A10" s="4" t="s">
        <v>28</v>
      </c>
      <c r="B10" s="4" t="s">
        <v>25</v>
      </c>
      <c r="E10" s="7"/>
    </row>
    <row r="11" spans="1:6" x14ac:dyDescent="0.2">
      <c r="A11" s="4" t="s">
        <v>7</v>
      </c>
      <c r="B11" s="4" t="s">
        <v>8</v>
      </c>
      <c r="E11" s="7"/>
    </row>
    <row r="12" spans="1:6" x14ac:dyDescent="0.2">
      <c r="A12" s="4" t="s">
        <v>29</v>
      </c>
      <c r="B12" s="4" t="s">
        <v>8</v>
      </c>
      <c r="E12" s="7"/>
    </row>
    <row r="13" spans="1:6" x14ac:dyDescent="0.2">
      <c r="A13" s="4" t="s">
        <v>98</v>
      </c>
      <c r="B13" s="4" t="s">
        <v>25</v>
      </c>
      <c r="C13" s="4" t="s">
        <v>30</v>
      </c>
      <c r="E13" s="7"/>
    </row>
    <row r="14" spans="1:6" x14ac:dyDescent="0.2">
      <c r="A14" s="4" t="s">
        <v>31</v>
      </c>
      <c r="B14" s="4" t="s">
        <v>32</v>
      </c>
      <c r="E14" s="7"/>
    </row>
    <row r="15" spans="1:6" x14ac:dyDescent="0.2">
      <c r="A15" s="4" t="s">
        <v>33</v>
      </c>
      <c r="B15" s="4" t="s">
        <v>11</v>
      </c>
      <c r="E15" s="7"/>
    </row>
    <row r="16" spans="1:6" x14ac:dyDescent="0.2">
      <c r="A16" s="4" t="s">
        <v>34</v>
      </c>
      <c r="B16" s="4" t="s">
        <v>8</v>
      </c>
      <c r="E16" s="7"/>
    </row>
    <row r="17" spans="1:5" x14ac:dyDescent="0.2">
      <c r="A17" s="4" t="s">
        <v>35</v>
      </c>
      <c r="B17" s="4" t="s">
        <v>36</v>
      </c>
      <c r="E17" s="7"/>
    </row>
    <row r="18" spans="1:5" x14ac:dyDescent="0.2">
      <c r="A18" s="4" t="s">
        <v>37</v>
      </c>
      <c r="B18" s="4" t="s">
        <v>11</v>
      </c>
      <c r="E18" s="7"/>
    </row>
    <row r="19" spans="1:5" x14ac:dyDescent="0.2">
      <c r="A19" s="4" t="s">
        <v>38</v>
      </c>
      <c r="B19" s="4" t="s">
        <v>32</v>
      </c>
      <c r="E19" s="7"/>
    </row>
    <row r="20" spans="1:5" x14ac:dyDescent="0.2">
      <c r="A20" s="4" t="s">
        <v>104</v>
      </c>
      <c r="B20" s="4" t="s">
        <v>8</v>
      </c>
      <c r="E20" s="7"/>
    </row>
    <row r="21" spans="1:5" x14ac:dyDescent="0.2">
      <c r="A21" s="4" t="s">
        <v>39</v>
      </c>
      <c r="B21" s="4" t="s">
        <v>8</v>
      </c>
      <c r="E21" s="7"/>
    </row>
    <row r="22" spans="1:5" x14ac:dyDescent="0.2">
      <c r="A22" s="4" t="s">
        <v>40</v>
      </c>
      <c r="B22" s="4" t="s">
        <v>11</v>
      </c>
      <c r="E22" s="7"/>
    </row>
    <row r="23" spans="1:5" x14ac:dyDescent="0.2">
      <c r="A23" s="4" t="s">
        <v>99</v>
      </c>
      <c r="B23" s="4" t="s">
        <v>13</v>
      </c>
      <c r="C23" s="4" t="s">
        <v>41</v>
      </c>
      <c r="E23" s="7"/>
    </row>
    <row r="24" spans="1:5" x14ac:dyDescent="0.2">
      <c r="A24" s="4" t="s">
        <v>42</v>
      </c>
      <c r="B24" s="4" t="s">
        <v>8</v>
      </c>
      <c r="E24" s="7"/>
    </row>
    <row r="25" spans="1:5" x14ac:dyDescent="0.2">
      <c r="A25" s="4" t="s">
        <v>43</v>
      </c>
      <c r="B25" s="4" t="s">
        <v>11</v>
      </c>
      <c r="E25" s="7"/>
    </row>
    <row r="26" spans="1:5" x14ac:dyDescent="0.2">
      <c r="A26" s="4" t="s">
        <v>44</v>
      </c>
      <c r="B26" s="4" t="s">
        <v>11</v>
      </c>
      <c r="E26" s="7"/>
    </row>
    <row r="27" spans="1:5" x14ac:dyDescent="0.2">
      <c r="A27" s="4" t="s">
        <v>45</v>
      </c>
      <c r="B27" s="4" t="s">
        <v>13</v>
      </c>
      <c r="E27" s="7"/>
    </row>
    <row r="28" spans="1:5" x14ac:dyDescent="0.2">
      <c r="A28" s="4" t="s">
        <v>46</v>
      </c>
      <c r="B28" s="4" t="s">
        <v>13</v>
      </c>
      <c r="E28" s="7"/>
    </row>
    <row r="29" spans="1:5" x14ac:dyDescent="0.2">
      <c r="A29" s="4" t="s">
        <v>47</v>
      </c>
      <c r="B29" s="4" t="s">
        <v>11</v>
      </c>
      <c r="E29" s="7"/>
    </row>
    <row r="30" spans="1:5" x14ac:dyDescent="0.2">
      <c r="A30" s="4" t="s">
        <v>10</v>
      </c>
      <c r="B30" s="4" t="s">
        <v>11</v>
      </c>
      <c r="E30" s="7"/>
    </row>
    <row r="31" spans="1:5" x14ac:dyDescent="0.2">
      <c r="A31" s="4" t="s">
        <v>48</v>
      </c>
      <c r="B31" s="4" t="s">
        <v>13</v>
      </c>
      <c r="E31" s="7"/>
    </row>
    <row r="32" spans="1:5" x14ac:dyDescent="0.2">
      <c r="A32" s="4" t="s">
        <v>49</v>
      </c>
      <c r="B32" s="4" t="s">
        <v>32</v>
      </c>
      <c r="E32" s="7"/>
    </row>
    <row r="33" spans="1:5" x14ac:dyDescent="0.2">
      <c r="A33" s="4" t="s">
        <v>50</v>
      </c>
      <c r="B33" s="4" t="s">
        <v>8</v>
      </c>
      <c r="E33" s="7"/>
    </row>
    <row r="34" spans="1:5" x14ac:dyDescent="0.2">
      <c r="A34" s="4" t="s">
        <v>51</v>
      </c>
      <c r="B34" s="4" t="s">
        <v>32</v>
      </c>
      <c r="E34" s="7"/>
    </row>
    <row r="35" spans="1:5" x14ac:dyDescent="0.2">
      <c r="A35" s="4" t="s">
        <v>100</v>
      </c>
      <c r="B35" s="4" t="s">
        <v>11</v>
      </c>
      <c r="C35" s="4" t="s">
        <v>52</v>
      </c>
      <c r="E35" s="7"/>
    </row>
    <row r="36" spans="1:5" x14ac:dyDescent="0.2">
      <c r="A36" s="4" t="s">
        <v>53</v>
      </c>
      <c r="B36" s="4" t="s">
        <v>11</v>
      </c>
      <c r="E36" s="7"/>
    </row>
    <row r="37" spans="1:5" x14ac:dyDescent="0.2">
      <c r="A37" s="4" t="s">
        <v>54</v>
      </c>
      <c r="B37" s="4" t="s">
        <v>13</v>
      </c>
      <c r="E37" s="7"/>
    </row>
    <row r="38" spans="1:5" x14ac:dyDescent="0.2">
      <c r="A38" s="4" t="s">
        <v>55</v>
      </c>
      <c r="B38" s="4" t="s">
        <v>13</v>
      </c>
      <c r="E38" s="7"/>
    </row>
    <row r="39" spans="1:5" x14ac:dyDescent="0.2">
      <c r="A39" s="4" t="s">
        <v>56</v>
      </c>
      <c r="B39" s="4" t="s">
        <v>32</v>
      </c>
      <c r="E39" s="7"/>
    </row>
    <row r="40" spans="1:5" x14ac:dyDescent="0.2">
      <c r="A40" s="4" t="s">
        <v>101</v>
      </c>
      <c r="B40" s="4" t="s">
        <v>32</v>
      </c>
      <c r="C40" s="4" t="s">
        <v>57</v>
      </c>
      <c r="E40" s="7"/>
    </row>
    <row r="41" spans="1:5" x14ac:dyDescent="0.2">
      <c r="A41" s="4" t="s">
        <v>58</v>
      </c>
      <c r="B41" s="4" t="s">
        <v>32</v>
      </c>
      <c r="E41" s="7"/>
    </row>
    <row r="42" spans="1:5" x14ac:dyDescent="0.2">
      <c r="A42" s="4" t="s">
        <v>59</v>
      </c>
      <c r="B42" s="4" t="s">
        <v>8</v>
      </c>
      <c r="E42" s="7"/>
    </row>
    <row r="43" spans="1:5" x14ac:dyDescent="0.2">
      <c r="A43" s="4" t="s">
        <v>60</v>
      </c>
      <c r="B43" s="4" t="s">
        <v>13</v>
      </c>
      <c r="E43" s="7"/>
    </row>
    <row r="44" spans="1:5" x14ac:dyDescent="0.2">
      <c r="A44" s="4" t="s">
        <v>61</v>
      </c>
      <c r="B44" s="4" t="s">
        <v>36</v>
      </c>
      <c r="E44" s="7"/>
    </row>
    <row r="45" spans="1:5" x14ac:dyDescent="0.2">
      <c r="A45" s="4" t="s">
        <v>62</v>
      </c>
      <c r="B45" s="4" t="s">
        <v>13</v>
      </c>
      <c r="E45" s="7"/>
    </row>
    <row r="46" spans="1:5" x14ac:dyDescent="0.2">
      <c r="A46" s="4" t="s">
        <v>63</v>
      </c>
      <c r="B46" s="4" t="s">
        <v>8</v>
      </c>
      <c r="E46" s="7"/>
    </row>
    <row r="47" spans="1:5" x14ac:dyDescent="0.2">
      <c r="A47" s="4" t="s">
        <v>64</v>
      </c>
      <c r="B47" s="4" t="s">
        <v>13</v>
      </c>
      <c r="E47" s="7"/>
    </row>
    <row r="48" spans="1:5" x14ac:dyDescent="0.2">
      <c r="A48" s="4" t="s">
        <v>65</v>
      </c>
      <c r="B48" s="4" t="s">
        <v>8</v>
      </c>
      <c r="E48" s="7"/>
    </row>
    <row r="49" spans="1:5" x14ac:dyDescent="0.2">
      <c r="A49" s="4" t="s">
        <v>66</v>
      </c>
      <c r="B49" s="4" t="s">
        <v>32</v>
      </c>
      <c r="E49" s="7"/>
    </row>
    <row r="50" spans="1:5" x14ac:dyDescent="0.2">
      <c r="A50" s="4" t="s">
        <v>102</v>
      </c>
      <c r="B50" s="4" t="s">
        <v>25</v>
      </c>
      <c r="C50" s="4" t="s">
        <v>67</v>
      </c>
      <c r="E50" s="7"/>
    </row>
    <row r="51" spans="1:5" x14ac:dyDescent="0.2">
      <c r="A51" s="4" t="s">
        <v>68</v>
      </c>
      <c r="B51" s="4" t="s">
        <v>36</v>
      </c>
      <c r="E51" s="7"/>
    </row>
    <row r="52" spans="1:5" x14ac:dyDescent="0.2">
      <c r="A52" s="4" t="s">
        <v>69</v>
      </c>
      <c r="B52" s="4" t="s">
        <v>32</v>
      </c>
      <c r="E52" s="7"/>
    </row>
    <row r="53" spans="1:5" x14ac:dyDescent="0.2">
      <c r="A53" s="4" t="s">
        <v>70</v>
      </c>
      <c r="B53" s="4" t="s">
        <v>36</v>
      </c>
      <c r="E53" s="7"/>
    </row>
    <row r="54" spans="1:5" x14ac:dyDescent="0.2">
      <c r="A54" s="4" t="s">
        <v>71</v>
      </c>
      <c r="B54" s="4" t="s">
        <v>25</v>
      </c>
      <c r="E54" s="7"/>
    </row>
    <row r="55" spans="1:5" x14ac:dyDescent="0.2">
      <c r="A55" s="4" t="s">
        <v>72</v>
      </c>
      <c r="B55" s="4" t="s">
        <v>11</v>
      </c>
      <c r="E55" s="7"/>
    </row>
    <row r="56" spans="1:5" x14ac:dyDescent="0.2">
      <c r="A56" s="4" t="s">
        <v>73</v>
      </c>
      <c r="B56" s="4" t="s">
        <v>25</v>
      </c>
      <c r="E56" s="7"/>
    </row>
    <row r="57" spans="1:5" x14ac:dyDescent="0.2">
      <c r="A57" s="4" t="s">
        <v>74</v>
      </c>
      <c r="B57" s="4" t="s">
        <v>11</v>
      </c>
      <c r="E57" s="7"/>
    </row>
    <row r="58" spans="1:5" x14ac:dyDescent="0.2">
      <c r="A58" s="4" t="s">
        <v>75</v>
      </c>
      <c r="B58" s="4" t="s">
        <v>13</v>
      </c>
      <c r="E58" s="7"/>
    </row>
    <row r="59" spans="1:5" x14ac:dyDescent="0.2">
      <c r="A59" s="4" t="s">
        <v>76</v>
      </c>
      <c r="B59" s="4" t="s">
        <v>13</v>
      </c>
      <c r="E59" s="7"/>
    </row>
    <row r="60" spans="1:5" x14ac:dyDescent="0.2">
      <c r="A60" s="4" t="s">
        <v>77</v>
      </c>
      <c r="B60" s="4" t="s">
        <v>13</v>
      </c>
      <c r="E60" s="7"/>
    </row>
    <row r="61" spans="1:5" x14ac:dyDescent="0.2">
      <c r="A61" s="4" t="s">
        <v>78</v>
      </c>
      <c r="B61" s="4" t="s">
        <v>13</v>
      </c>
      <c r="E61" s="7"/>
    </row>
    <row r="62" spans="1:5" x14ac:dyDescent="0.2">
      <c r="A62" s="4" t="s">
        <v>79</v>
      </c>
      <c r="B62" s="4" t="s">
        <v>32</v>
      </c>
      <c r="E62" s="7"/>
    </row>
    <row r="63" spans="1:5" x14ac:dyDescent="0.2">
      <c r="A63" s="4" t="s">
        <v>80</v>
      </c>
      <c r="B63" s="4" t="s">
        <v>13</v>
      </c>
      <c r="E63" s="7"/>
    </row>
    <row r="64" spans="1:5" x14ac:dyDescent="0.2">
      <c r="A64" s="4" t="s">
        <v>103</v>
      </c>
      <c r="B64" s="4" t="s">
        <v>11</v>
      </c>
      <c r="C64" s="4" t="s">
        <v>81</v>
      </c>
      <c r="E64" s="7"/>
    </row>
    <row r="65" spans="1:5" x14ac:dyDescent="0.2">
      <c r="A65" s="4" t="s">
        <v>82</v>
      </c>
      <c r="B65" s="4" t="s">
        <v>32</v>
      </c>
      <c r="E65" s="7"/>
    </row>
    <row r="66" spans="1:5" x14ac:dyDescent="0.2">
      <c r="A66" s="4" t="s">
        <v>83</v>
      </c>
      <c r="B66" s="4" t="s">
        <v>8</v>
      </c>
      <c r="E66" s="7"/>
    </row>
    <row r="67" spans="1:5" x14ac:dyDescent="0.2">
      <c r="A67" s="4" t="s">
        <v>12</v>
      </c>
      <c r="B67" s="4" t="s">
        <v>13</v>
      </c>
      <c r="E67" s="7"/>
    </row>
    <row r="68" spans="1:5" x14ac:dyDescent="0.2">
      <c r="A68" s="4" t="s">
        <v>84</v>
      </c>
      <c r="B68" s="4" t="s">
        <v>32</v>
      </c>
      <c r="E68" s="7"/>
    </row>
    <row r="69" spans="1:5" x14ac:dyDescent="0.2">
      <c r="A69" s="4" t="s">
        <v>85</v>
      </c>
      <c r="B69" s="4" t="s">
        <v>11</v>
      </c>
      <c r="E69" s="7"/>
    </row>
    <row r="70" spans="1:5" x14ac:dyDescent="0.2">
      <c r="A70" s="4" t="s">
        <v>86</v>
      </c>
      <c r="B70" s="4" t="s">
        <v>8</v>
      </c>
      <c r="E70" s="7"/>
    </row>
    <row r="71" spans="1:5" x14ac:dyDescent="0.2">
      <c r="A71" s="4" t="s">
        <v>87</v>
      </c>
      <c r="B71" s="4" t="s">
        <v>32</v>
      </c>
      <c r="E71" s="7"/>
    </row>
    <row r="72" spans="1:5" x14ac:dyDescent="0.2">
      <c r="A72" s="4" t="s">
        <v>88</v>
      </c>
      <c r="B72" s="4" t="s">
        <v>25</v>
      </c>
      <c r="E72" s="7"/>
    </row>
    <row r="73" spans="1:5" x14ac:dyDescent="0.2">
      <c r="A73" s="4" t="s">
        <v>89</v>
      </c>
      <c r="B73" s="4" t="s">
        <v>11</v>
      </c>
      <c r="E73" s="7"/>
    </row>
    <row r="74" spans="1:5" x14ac:dyDescent="0.2">
      <c r="A74" s="4" t="s">
        <v>90</v>
      </c>
      <c r="B74" s="4" t="s">
        <v>11</v>
      </c>
      <c r="E74" s="7"/>
    </row>
    <row r="75" spans="1:5" x14ac:dyDescent="0.2">
      <c r="A75" s="4" t="s">
        <v>91</v>
      </c>
      <c r="B75" s="4" t="s">
        <v>13</v>
      </c>
      <c r="E75" s="7"/>
    </row>
    <row r="76" spans="1:5" x14ac:dyDescent="0.2">
      <c r="A76" s="4" t="s">
        <v>92</v>
      </c>
      <c r="B76" s="4" t="s">
        <v>8</v>
      </c>
      <c r="E76" s="7"/>
    </row>
    <row r="77" spans="1:5" x14ac:dyDescent="0.2">
      <c r="A77" s="4" t="s">
        <v>93</v>
      </c>
      <c r="B77" s="4" t="s">
        <v>32</v>
      </c>
      <c r="E77" s="7"/>
    </row>
    <row r="78" spans="1:5" x14ac:dyDescent="0.2">
      <c r="A78" s="4" t="s">
        <v>94</v>
      </c>
      <c r="B78" s="4" t="s">
        <v>11</v>
      </c>
      <c r="E78" s="7"/>
    </row>
    <row r="79" spans="1:5" x14ac:dyDescent="0.2">
      <c r="A79" s="4" t="s">
        <v>116</v>
      </c>
      <c r="B79" s="4" t="s">
        <v>117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crop_area_by_provinces</vt:lpstr>
      <vt:lpstr>province_lookup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pongthanat Buranachon</cp:lastModifiedBy>
  <dcterms:created xsi:type="dcterms:W3CDTF">2026-09-13T06:53:55Z</dcterms:created>
  <dcterms:modified xsi:type="dcterms:W3CDTF">2026-09-15T08:07:56Z</dcterms:modified>
</cp:coreProperties>
</file>